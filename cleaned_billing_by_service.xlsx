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mikesinghani/Desktop/"/>
    </mc:Choice>
  </mc:AlternateContent>
  <xr:revisionPtr revIDLastSave="0" documentId="13_ncr:1_{EB1422C9-B426-E347-B324-67A2565B6541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Summary" sheetId="1" r:id="rId1"/>
    <sheet name="K-TV" sheetId="3" r:id="rId2"/>
    <sheet name="MINT" sheetId="4" r:id="rId3"/>
    <sheet name="STARLINK" sheetId="5" r:id="rId4"/>
    <sheet name="TMOB" sheetId="6" r:id="rId5"/>
    <sheet name="VER1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7" l="1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" i="7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  <c r="H12" i="5"/>
  <c r="H11" i="5"/>
  <c r="H10" i="5"/>
  <c r="H9" i="5"/>
  <c r="H8" i="5"/>
  <c r="H7" i="5"/>
  <c r="H6" i="5"/>
  <c r="H5" i="5"/>
  <c r="H4" i="5"/>
  <c r="H3" i="5"/>
  <c r="H2" i="5"/>
  <c r="H4" i="4"/>
  <c r="H3" i="4"/>
  <c r="H2" i="4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</calcChain>
</file>

<file path=xl/sharedStrings.xml><?xml version="1.0" encoding="utf-8"?>
<sst xmlns="http://schemas.openxmlformats.org/spreadsheetml/2006/main" count="985" uniqueCount="594">
  <si>
    <t>Service</t>
  </si>
  <si>
    <t>Customers</t>
  </si>
  <si>
    <t>Revenue</t>
  </si>
  <si>
    <t>Ready</t>
  </si>
  <si>
    <t>Past Due</t>
  </si>
  <si>
    <t>Not Paid</t>
  </si>
  <si>
    <t>1</t>
  </si>
  <si>
    <t>$25.00</t>
  </si>
  <si>
    <t>K-TV</t>
  </si>
  <si>
    <t>$325.00</t>
  </si>
  <si>
    <t>MINT</t>
  </si>
  <si>
    <t>$0.00</t>
  </si>
  <si>
    <t>STARLINK</t>
  </si>
  <si>
    <t>$100.00</t>
  </si>
  <si>
    <t>TMOB</t>
  </si>
  <si>
    <t>$1867.86</t>
  </si>
  <si>
    <t>VER1</t>
  </si>
  <si>
    <t>$595.00</t>
  </si>
  <si>
    <t>TOTAL</t>
  </si>
  <si>
    <t>$2912.86</t>
  </si>
  <si>
    <t>Charge Date</t>
  </si>
  <si>
    <t>Plan Cost</t>
  </si>
  <si>
    <t>Customer Name</t>
  </si>
  <si>
    <t>Card Number</t>
  </si>
  <si>
    <t>Exp</t>
  </si>
  <si>
    <t>CVV</t>
  </si>
  <si>
    <t>Amount Due</t>
  </si>
  <si>
    <t>Status</t>
  </si>
  <si>
    <t>Phone</t>
  </si>
  <si>
    <t>Notes</t>
  </si>
  <si>
    <t>Due Day</t>
  </si>
  <si>
    <t>Notes2</t>
  </si>
  <si>
    <t>Jan_2026</t>
  </si>
  <si>
    <t>Feb_2026</t>
  </si>
  <si>
    <t>Mar_2026</t>
  </si>
  <si>
    <t>Apr_2026</t>
  </si>
  <si>
    <t>May_2026</t>
  </si>
  <si>
    <t>Jun_2026</t>
  </si>
  <si>
    <t>Jul_2026</t>
  </si>
  <si>
    <t>Aug_2026</t>
  </si>
  <si>
    <t>Sep_2026</t>
  </si>
  <si>
    <t>Oct_2026</t>
  </si>
  <si>
    <t>Nov_2026</t>
  </si>
  <si>
    <t>Dec_2026</t>
  </si>
  <si>
    <t>Modem Numbers</t>
  </si>
  <si>
    <t>25</t>
  </si>
  <si>
    <t>Trey Bassford</t>
  </si>
  <si>
    <t>5110925000126049</t>
  </si>
  <si>
    <t>0727</t>
  </si>
  <si>
    <t>253</t>
  </si>
  <si>
    <t>Dustin Pierce</t>
  </si>
  <si>
    <t>5140680500468268</t>
  </si>
  <si>
    <t>0328</t>
  </si>
  <si>
    <t>894</t>
  </si>
  <si>
    <t>9124876597</t>
  </si>
  <si>
    <t>Linda Rob Friend</t>
  </si>
  <si>
    <t>5466322820841975</t>
  </si>
  <si>
    <t>1029</t>
  </si>
  <si>
    <t>759</t>
  </si>
  <si>
    <t>Kevin Rittenhouse</t>
  </si>
  <si>
    <t>5140680500479729</t>
  </si>
  <si>
    <t>0927</t>
  </si>
  <si>
    <t>826</t>
  </si>
  <si>
    <t>Charles Jones</t>
  </si>
  <si>
    <t>cash payer</t>
  </si>
  <si>
    <t>9125990226</t>
  </si>
  <si>
    <t>30</t>
  </si>
  <si>
    <t>David Fargo</t>
  </si>
  <si>
    <t>372085254493001</t>
  </si>
  <si>
    <t>1129</t>
  </si>
  <si>
    <t>227</t>
  </si>
  <si>
    <t>Wayne Mayes</t>
  </si>
  <si>
    <t>5463258545205216</t>
  </si>
  <si>
    <t>0330</t>
  </si>
  <si>
    <t>334</t>
  </si>
  <si>
    <t>Jared Jeffords</t>
  </si>
  <si>
    <t>5148875080254847</t>
  </si>
  <si>
    <t>0626</t>
  </si>
  <si>
    <t>892</t>
  </si>
  <si>
    <t>Robin Casper</t>
  </si>
  <si>
    <t>5424181202361221</t>
  </si>
  <si>
    <t>012</t>
  </si>
  <si>
    <t>12295398310</t>
  </si>
  <si>
    <t>Rachel Schools</t>
  </si>
  <si>
    <t>Rob Shirley</t>
  </si>
  <si>
    <t>9125200166</t>
  </si>
  <si>
    <t>Blasé Kusterle</t>
  </si>
  <si>
    <t>4147769462064441</t>
  </si>
  <si>
    <t>0928</t>
  </si>
  <si>
    <t>072</t>
  </si>
  <si>
    <t>7274063859</t>
  </si>
  <si>
    <t>Rhett Barber</t>
  </si>
  <si>
    <t>5140680500425524</t>
  </si>
  <si>
    <t>0128</t>
  </si>
  <si>
    <t>006</t>
  </si>
  <si>
    <t>9125200384</t>
  </si>
  <si>
    <t>Moses West</t>
  </si>
  <si>
    <t>2294243621</t>
  </si>
  <si>
    <t>Talmadge Linda Friend</t>
  </si>
  <si>
    <t>061205271 -0343001306 Barbara Bradford</t>
  </si>
  <si>
    <t>Ben No Name</t>
  </si>
  <si>
    <t>Carlena Basonette</t>
  </si>
  <si>
    <t>5538110009210839</t>
  </si>
  <si>
    <t>1026</t>
  </si>
  <si>
    <t>722</t>
  </si>
  <si>
    <t>19125208961</t>
  </si>
  <si>
    <t>Kenny Corbitt</t>
  </si>
  <si>
    <t>5140680500515225</t>
  </si>
  <si>
    <t>148</t>
  </si>
  <si>
    <t>45</t>
  </si>
  <si>
    <t>Albert Thornton</t>
  </si>
  <si>
    <t>5538110001919072</t>
  </si>
  <si>
    <t>1126</t>
  </si>
  <si>
    <t>136</t>
  </si>
  <si>
    <t>9124876120</t>
  </si>
  <si>
    <t>DISCONNECTED</t>
  </si>
  <si>
    <t>Louie Speedy Friend</t>
  </si>
  <si>
    <t>5178058002178096</t>
  </si>
  <si>
    <t>0430</t>
  </si>
  <si>
    <t>211</t>
  </si>
  <si>
    <t>2292516694</t>
  </si>
  <si>
    <t>Brent James</t>
  </si>
  <si>
    <t>4159770018242239</t>
  </si>
  <si>
    <t>0529</t>
  </si>
  <si>
    <t>066</t>
  </si>
  <si>
    <t>Otis Bailey</t>
  </si>
  <si>
    <t>4316800048077204</t>
  </si>
  <si>
    <t>0726</t>
  </si>
  <si>
    <t>738</t>
  </si>
  <si>
    <t>2294748202</t>
  </si>
  <si>
    <t>Cecil Barber</t>
  </si>
  <si>
    <t>5140680500506679</t>
  </si>
  <si>
    <t>1027</t>
  </si>
  <si>
    <t>906</t>
  </si>
  <si>
    <t>9125201004</t>
  </si>
  <si>
    <t>Lynn Tucker</t>
  </si>
  <si>
    <t>5332480496672983</t>
  </si>
  <si>
    <t>0530</t>
  </si>
  <si>
    <t>731</t>
  </si>
  <si>
    <t>2294154141</t>
  </si>
  <si>
    <t>Alphanso Abner</t>
  </si>
  <si>
    <t>4147202566994388</t>
  </si>
  <si>
    <t>265</t>
  </si>
  <si>
    <t>5163203295</t>
  </si>
  <si>
    <t>50</t>
  </si>
  <si>
    <t>Robert Seay</t>
  </si>
  <si>
    <t>5480281856411594</t>
  </si>
  <si>
    <t>328</t>
  </si>
  <si>
    <t>388</t>
  </si>
  <si>
    <t>9125990319</t>
  </si>
  <si>
    <t>Jacob Patton</t>
  </si>
  <si>
    <t>5238910001896474</t>
  </si>
  <si>
    <t>0528</t>
  </si>
  <si>
    <t>890</t>
  </si>
  <si>
    <t>Johnny Morgan</t>
  </si>
  <si>
    <t>Speedy Gonzales</t>
  </si>
  <si>
    <t>5156768563049595</t>
  </si>
  <si>
    <t>0230</t>
  </si>
  <si>
    <t>607</t>
  </si>
  <si>
    <t>4076179781</t>
  </si>
  <si>
    <t>Scott Lecessee</t>
  </si>
  <si>
    <t>5140680600752728</t>
  </si>
  <si>
    <t>01/29</t>
  </si>
  <si>
    <t>626</t>
  </si>
  <si>
    <t>Chad Jones</t>
  </si>
  <si>
    <t>4190320032038857</t>
  </si>
  <si>
    <t>1028</t>
  </si>
  <si>
    <t>875</t>
  </si>
  <si>
    <t>9125205176</t>
  </si>
  <si>
    <t>Daryl Thomas</t>
  </si>
  <si>
    <t>Miranda Odom</t>
  </si>
  <si>
    <t>TRIAL</t>
  </si>
  <si>
    <t>Kirstin Soeder</t>
  </si>
  <si>
    <t>Jess UPS</t>
  </si>
  <si>
    <t>Kimberly Tutt</t>
  </si>
  <si>
    <t>4418379236341133</t>
  </si>
  <si>
    <t>11/30</t>
  </si>
  <si>
    <t>112</t>
  </si>
  <si>
    <t>David Harrel</t>
  </si>
  <si>
    <t>4305728842196305</t>
  </si>
  <si>
    <t>0728</t>
  </si>
  <si>
    <t>065</t>
  </si>
  <si>
    <t>9124876000</t>
  </si>
  <si>
    <t>Danny Lecesse</t>
  </si>
  <si>
    <t>Jose Guadalupe</t>
  </si>
  <si>
    <t>5396890302394023</t>
  </si>
  <si>
    <t>0830</t>
  </si>
  <si>
    <t>236</t>
  </si>
  <si>
    <t>9125201752</t>
  </si>
  <si>
    <t>Susan King</t>
  </si>
  <si>
    <t>5213331420581150</t>
  </si>
  <si>
    <t>478</t>
  </si>
  <si>
    <t>9125992775</t>
  </si>
  <si>
    <t>Lee Ricketson (Linda Friend)</t>
  </si>
  <si>
    <t>4356190214839013</t>
  </si>
  <si>
    <t>275</t>
  </si>
  <si>
    <t>2295635085</t>
  </si>
  <si>
    <t>John Ried Linda Friend</t>
  </si>
  <si>
    <t>4400665620477636</t>
  </si>
  <si>
    <t>911</t>
  </si>
  <si>
    <t>Doug Lowe</t>
  </si>
  <si>
    <t>5121079824415407</t>
  </si>
  <si>
    <t>0628</t>
  </si>
  <si>
    <t>769</t>
  </si>
  <si>
    <t>Charlie Kenny Jones</t>
  </si>
  <si>
    <t>4159770028121746</t>
  </si>
  <si>
    <t>0929</t>
  </si>
  <si>
    <t>895</t>
  </si>
  <si>
    <t> 9125925223</t>
  </si>
  <si>
    <t>Emily Arnold</t>
  </si>
  <si>
    <t>5140680500470520</t>
  </si>
  <si>
    <t>184</t>
  </si>
  <si>
    <t>Jacki Landrum</t>
  </si>
  <si>
    <t>5243001529691820</t>
  </si>
  <si>
    <t>1227</t>
  </si>
  <si>
    <t>134</t>
  </si>
  <si>
    <t>9125017931</t>
  </si>
  <si>
    <t>Timmy Manac</t>
  </si>
  <si>
    <t>9125200781</t>
  </si>
  <si>
    <t>Tara Linda Friend</t>
  </si>
  <si>
    <t>5368099266210746</t>
  </si>
  <si>
    <t>0229</t>
  </si>
  <si>
    <t>975</t>
  </si>
  <si>
    <t>12295614006</t>
  </si>
  <si>
    <t>35</t>
  </si>
  <si>
    <t>Jaun Perez</t>
  </si>
  <si>
    <t>5108750028881829</t>
  </si>
  <si>
    <t>831</t>
  </si>
  <si>
    <t>2035267181</t>
  </si>
  <si>
    <t>Joanne Cribb</t>
  </si>
  <si>
    <t>Haley Bass</t>
  </si>
  <si>
    <t>5140680500466338</t>
  </si>
  <si>
    <t>0228</t>
  </si>
  <si>
    <t>741</t>
  </si>
  <si>
    <t>9125201247</t>
  </si>
  <si>
    <t>One Trip</t>
  </si>
  <si>
    <t>mike766</t>
  </si>
  <si>
    <t>James Steedley</t>
  </si>
  <si>
    <t>`5453135001665608</t>
  </si>
  <si>
    <t>`1230</t>
  </si>
  <si>
    <t>`265</t>
  </si>
  <si>
    <t>mike849</t>
  </si>
  <si>
    <t>Cash Payer</t>
  </si>
  <si>
    <t>Carco</t>
  </si>
  <si>
    <t>Onetrip Homerville</t>
  </si>
  <si>
    <t>Lily James</t>
  </si>
  <si>
    <t>5140680500496624</t>
  </si>
  <si>
    <t>0627</t>
  </si>
  <si>
    <t>295</t>
  </si>
  <si>
    <t>Cork &amp; Barrel</t>
  </si>
  <si>
    <t>2026-03-24</t>
  </si>
  <si>
    <t>Trish Finch</t>
  </si>
  <si>
    <t>Will Bennett</t>
  </si>
  <si>
    <t>5140680500489314</t>
  </si>
  <si>
    <t>0827</t>
  </si>
  <si>
    <t>422</t>
  </si>
  <si>
    <t>maniksinghani@hotmail.com</t>
  </si>
  <si>
    <t>a</t>
  </si>
  <si>
    <t>2026-01-11</t>
  </si>
  <si>
    <t>-</t>
  </si>
  <si>
    <t>Kayla Scott</t>
  </si>
  <si>
    <t>`8610350606044642	mike@financeusa.com	Iwant$101818$	`10081978	manik narainsinghani</t>
  </si>
  <si>
    <t>9124701501</t>
  </si>
  <si>
    <t>Ace Hardware</t>
  </si>
  <si>
    <t>`359509842839208	mike@financeusa.com	Iwant$101818$	`10081978	manik narainsinghani</t>
  </si>
  <si>
    <t>9124701495</t>
  </si>
  <si>
    <t>Dockside</t>
  </si>
  <si>
    <t>`359509847334213	ksinghani@me.com	singhani123	`101082	kapil singhani</t>
  </si>
  <si>
    <t>2299398515</t>
  </si>
  <si>
    <t>Tina Hendrix</t>
  </si>
  <si>
    <t>`359509846068713	maniksinghani@hotmail.com	Remember02$	`111961	glynn king</t>
  </si>
  <si>
    <t>9124701229</t>
  </si>
  <si>
    <t>Shop</t>
  </si>
  <si>
    <t>`359509843937423	sb.llc@icloud.com	corbitt123	`050756	kenneth corbitt</t>
  </si>
  <si>
    <t>9124701732</t>
  </si>
  <si>
    <t>Shayla Edmonds</t>
  </si>
  <si>
    <t>9019303350</t>
  </si>
  <si>
    <t>`359509842998178	trishfinch22@gmail.com	Iwant$101818	`073181	brooke narainsinghani</t>
  </si>
  <si>
    <t>2299398186</t>
  </si>
  <si>
    <t>Iris Steedley</t>
  </si>
  <si>
    <t>5445796131343183</t>
  </si>
  <si>
    <t>9125209492</t>
  </si>
  <si>
    <t>`359509847469100	ksinghani@me.com	singhani123	`101082	kapil singhani</t>
  </si>
  <si>
    <t>2299398521</t>
  </si>
  <si>
    <t>Cork Nashville</t>
  </si>
  <si>
    <t>`359509843352516	johnsonbrooke22@yyahoo.com	Iwant$101818	`073181	brooke narainsinghani</t>
  </si>
  <si>
    <t>2299290168</t>
  </si>
  <si>
    <t>Manish Lakeland</t>
  </si>
  <si>
    <t>4246315409256490</t>
  </si>
  <si>
    <t>0429</t>
  </si>
  <si>
    <t>049</t>
  </si>
  <si>
    <t>`359509845260329	maniksinghani@hotmail.com	Terleiye08$$	`111961	glynn king</t>
  </si>
  <si>
    <t>9124701616</t>
  </si>
  <si>
    <t>Corey Grady</t>
  </si>
  <si>
    <t xml:space="preserve">	maniksinghani@hotmail.com	Remember02$	`111961	glynn king	</t>
  </si>
  <si>
    <t>9124701307</t>
  </si>
  <si>
    <t>George Grant</t>
  </si>
  <si>
    <t>9125205574</t>
  </si>
  <si>
    <t>`864644069142107	tankglenn@gmail.com	Iwant$101818$	birthday is pin	Weaver Glenn</t>
  </si>
  <si>
    <t>9124701439</t>
  </si>
  <si>
    <t>Jonathan Hutcheson</t>
  </si>
  <si>
    <t>`4031630372574094</t>
  </si>
  <si>
    <t>`0929</t>
  </si>
  <si>
    <t>`409</t>
  </si>
  <si>
    <t>9125999003</t>
  </si>
  <si>
    <t>`359509843507176	sb.llc@icloud.com	Iwant$101818	`050756	kenneth corbitt</t>
  </si>
  <si>
    <t xml:space="preserve">Kayla Scott Mom </t>
  </si>
  <si>
    <t>`359509846224332	sb.llc@icloud.com	Iwant$101818	`050756	kenneth corbitt</t>
  </si>
  <si>
    <t>9124701711</t>
  </si>
  <si>
    <t>Gene Gray</t>
  </si>
  <si>
    <t>4031630689516721</t>
  </si>
  <si>
    <t>0629</t>
  </si>
  <si>
    <t>864</t>
  </si>
  <si>
    <t>`359509845225132	tankglenn@gmail.com	Iwant$101818$	birthday is pin	Weaver Glenn</t>
  </si>
  <si>
    <t>9124701140</t>
  </si>
  <si>
    <t>Kirsty Thomas - Willacoochee</t>
  </si>
  <si>
    <t>`359509846132246	maniksinghani@gmail.com	Soldout365$	`100174	geofrrey johnson</t>
  </si>
  <si>
    <t>9124701705</t>
  </si>
  <si>
    <t>Shannon Armes</t>
  </si>
  <si>
    <t>4687124012794327</t>
  </si>
  <si>
    <t>1127</t>
  </si>
  <si>
    <t>434</t>
  </si>
  <si>
    <t>9419620637</t>
  </si>
  <si>
    <t xml:space="preserve">`359509843862621	johnsonbrooke22@yyahoo.com	Iwant$101818	`073181	brooke narainsinghani			</t>
  </si>
  <si>
    <t>2299290169</t>
  </si>
  <si>
    <t>AT WILLACOOCHEE</t>
  </si>
  <si>
    <t>`866134073883753	cmodom01@gmail.com			Valarie Odom</t>
  </si>
  <si>
    <t>9124700549</t>
  </si>
  <si>
    <t>`350596537270673	cmodom01@gmail.com			Valarie Odom</t>
  </si>
  <si>
    <t>9124701866</t>
  </si>
  <si>
    <t>`359956986481265	admin@apollobits.org	Soldout365$		Mary Glenn</t>
  </si>
  <si>
    <t>2292810537</t>
  </si>
  <si>
    <t>2295485050</t>
  </si>
  <si>
    <t>`359509846179817	maniksinghani@hotmail.com	Terleiye08$$	`111961	glynn king</t>
  </si>
  <si>
    <t>9124701381</t>
  </si>
  <si>
    <t>Amanda Houston</t>
  </si>
  <si>
    <t>facebook</t>
  </si>
  <si>
    <t>`359509845302568	maniksinghani@gmail.com	Soldout365$	`100174	geofrrey johnson</t>
  </si>
  <si>
    <t>9124701698</t>
  </si>
  <si>
    <t>Christi Alonso</t>
  </si>
  <si>
    <t>5140680500435234</t>
  </si>
  <si>
    <t>379</t>
  </si>
  <si>
    <t>2292697698</t>
  </si>
  <si>
    <t>`359509843032126	tankglenn@gmail.com	Iwant$101818$	birthday is pin	Weaver Glenn</t>
  </si>
  <si>
    <t>9124701311</t>
  </si>
  <si>
    <t>Gail Gilliard</t>
  </si>
  <si>
    <t>5140680500483226</t>
  </si>
  <si>
    <t>808</t>
  </si>
  <si>
    <t>9122811245</t>
  </si>
  <si>
    <t>`359509842963214	mike@financeusa.com	Iwant$101818$	`10081978	manik narainsinghani</t>
  </si>
  <si>
    <t>9124711480</t>
  </si>
  <si>
    <t>Rayburn Colburn</t>
  </si>
  <si>
    <t>5140680500437438</t>
  </si>
  <si>
    <t>0428</t>
  </si>
  <si>
    <t>220</t>
  </si>
  <si>
    <t>9122887448</t>
  </si>
  <si>
    <t>`359509845894846	maniksinghani@hotmail.com	Iwant$10181818	`100174	geofrrey johnson</t>
  </si>
  <si>
    <t>9124701259</t>
  </si>
  <si>
    <t>Laura Stokes</t>
  </si>
  <si>
    <t>4634050404097173</t>
  </si>
  <si>
    <t>941</t>
  </si>
  <si>
    <t>2295074503</t>
  </si>
  <si>
    <t xml:space="preserve">`359509844041076	johnsonbrooke22@yyahoo.com	johnson123	`073181	brooke narainsinghani	</t>
  </si>
  <si>
    <t>2299290179</t>
  </si>
  <si>
    <t>`359509842977156	trishfinch22@gmail.com	Tereliye0808$	`022481	Trish Finch</t>
  </si>
  <si>
    <t>2299398188</t>
  </si>
  <si>
    <t>Austin Tanner/Michelle Tanner</t>
  </si>
  <si>
    <t>3868551779</t>
  </si>
  <si>
    <t>`864644069156958	trishfinch22@gmail.com	Tereliye0808$	`022481	Trish Finch</t>
  </si>
  <si>
    <t>2299398187</t>
  </si>
  <si>
    <t>Shelley Robinson</t>
  </si>
  <si>
    <t>5465330009085828</t>
  </si>
  <si>
    <t>383</t>
  </si>
  <si>
    <t>9122866129</t>
  </si>
  <si>
    <t>22299398518</t>
  </si>
  <si>
    <t>Hunter Dawson</t>
  </si>
  <si>
    <t>5178058137825587</t>
  </si>
  <si>
    <t>854</t>
  </si>
  <si>
    <t>9032598900</t>
  </si>
  <si>
    <t>`359509846178983	maniksinghani@gmail.com	Soldout365$	`100174	geofrrey johnson</t>
  </si>
  <si>
    <t>9124701653</t>
  </si>
  <si>
    <t>2026-03-16</t>
  </si>
  <si>
    <t>ON HAND</t>
  </si>
  <si>
    <t>`359509842317700	johnsonbrooke22@yyahoo.com	johnson123	`073181	brooke narainsinghani</t>
  </si>
  <si>
    <t>2299290181</t>
  </si>
  <si>
    <t>Kieth Brantley</t>
  </si>
  <si>
    <t>4552250364667985</t>
  </si>
  <si>
    <t>161</t>
  </si>
  <si>
    <t>7076317738</t>
  </si>
  <si>
    <t>`86464409571099	tankglenn@gmail.com	Iwant$101818$	birthday is pin	Weaver Glenn</t>
  </si>
  <si>
    <t>9124701409</t>
  </si>
  <si>
    <t>2026-03-19</t>
  </si>
  <si>
    <t>Kalig Tiner</t>
  </si>
  <si>
    <t>5140680500440267</t>
  </si>
  <si>
    <t>944</t>
  </si>
  <si>
    <t>`359509846179866	maniksinghani@gmail.com	Soldout365$	`100174	geofrrey johnson</t>
  </si>
  <si>
    <t>9124701701</t>
  </si>
  <si>
    <t>2026-03-21</t>
  </si>
  <si>
    <t>Lawton Smith</t>
  </si>
  <si>
    <t>5538110005413676</t>
  </si>
  <si>
    <t>0425</t>
  </si>
  <si>
    <t>296</t>
  </si>
  <si>
    <t>9125990441</t>
  </si>
  <si>
    <t>9124701492</t>
  </si>
  <si>
    <t>Vernon Spek</t>
  </si>
  <si>
    <t>4011830000703925</t>
  </si>
  <si>
    <t>939</t>
  </si>
  <si>
    <t>19402033533</t>
  </si>
  <si>
    <t xml:space="preserve">`359509845711776	maniksinghani@gmail.com	Soldout365$	`100174	geofrrey johnson		</t>
  </si>
  <si>
    <t>9124701695</t>
  </si>
  <si>
    <t>2026-03-22</t>
  </si>
  <si>
    <t>Shantae Sims</t>
  </si>
  <si>
    <t>paid at ONE TRIP</t>
  </si>
  <si>
    <t>`350596537270673	titlemikes@icloud.com			Tyler Sekinger</t>
  </si>
  <si>
    <t>2296219834</t>
  </si>
  <si>
    <t>Tammy Bowen-85</t>
  </si>
  <si>
    <t>9123092990</t>
  </si>
  <si>
    <t>`359509847341747	ksinghani@me.com	singhani123	`101082	kapil singhani</t>
  </si>
  <si>
    <t>2299398519</t>
  </si>
  <si>
    <t>2026-03-23</t>
  </si>
  <si>
    <t>Haley Bass Parents</t>
  </si>
  <si>
    <t>5140680500421309</t>
  </si>
  <si>
    <t>509</t>
  </si>
  <si>
    <t>9125202750</t>
  </si>
  <si>
    <t xml:space="preserve">`359509846224274	sb.llc@icloud.com	corbitt123	`050756	kenneth corbitt		</t>
  </si>
  <si>
    <t>9124701708</t>
  </si>
  <si>
    <t>Adam Bell-2</t>
  </si>
  <si>
    <t>5238910001807190</t>
  </si>
  <si>
    <t>0130</t>
  </si>
  <si>
    <t>9123817201</t>
  </si>
  <si>
    <t>`359509843456481	maniksinghani@hotmail.com	Tereliye080$$	`111961	glynn king</t>
  </si>
  <si>
    <t>9124701624</t>
  </si>
  <si>
    <t>2026-03-28</t>
  </si>
  <si>
    <t>`359509847358980	ksinghani@me.com	singhani123	`101082	kapil singhani</t>
  </si>
  <si>
    <t>2299398516</t>
  </si>
  <si>
    <t>Casey Taylor</t>
  </si>
  <si>
    <t>5348600045706485</t>
  </si>
  <si>
    <t>548</t>
  </si>
  <si>
    <t>8502426321</t>
  </si>
  <si>
    <t xml:space="preserve"> `359509843041432 	tankglenn@gmail.com	Iwant$101818$	birthday is pin	Weaver Glenn</t>
  </si>
  <si>
    <t>9124701360</t>
  </si>
  <si>
    <t xml:space="preserve">Larry Mincey </t>
  </si>
  <si>
    <t>`359509843409787	johnsonbrooke22@yyahoo.com	Iwant$101818	`073181	brooke narainsinghani</t>
  </si>
  <si>
    <t>2299290176</t>
  </si>
  <si>
    <t>Shiley Byrd</t>
  </si>
  <si>
    <t>4403935286344173</t>
  </si>
  <si>
    <t>704</t>
  </si>
  <si>
    <t>9125333440</t>
  </si>
  <si>
    <t>`359509843013639	tankglenn@gmail.com	Iwant$101818$	birthday is pin	Weaver Glenn</t>
  </si>
  <si>
    <t>9124701376</t>
  </si>
  <si>
    <t>Anthony Morris</t>
  </si>
  <si>
    <t>5146210800170663</t>
  </si>
  <si>
    <t>912</t>
  </si>
  <si>
    <t>9125922801</t>
  </si>
  <si>
    <t>`359509842840040	trishfinch22@gmail.com	trish123	`022481Trish Finch</t>
  </si>
  <si>
    <t>2299398189</t>
  </si>
  <si>
    <t>John Steedley</t>
  </si>
  <si>
    <t>5538110005455842</t>
  </si>
  <si>
    <t>0326</t>
  </si>
  <si>
    <t>753</t>
  </si>
  <si>
    <t>Tyler Seckinger</t>
  </si>
  <si>
    <t>2299393472</t>
  </si>
  <si>
    <t>Ria</t>
  </si>
  <si>
    <t>`861035062812528	trishfinch22@gmail.com	Tereliye0808$	`022481	Trish Finch</t>
  </si>
  <si>
    <t>2299398185</t>
  </si>
  <si>
    <t>Carter Oil Company</t>
  </si>
  <si>
    <t>4798040022824944</t>
  </si>
  <si>
    <t>11/26</t>
  </si>
  <si>
    <t>381</t>
  </si>
  <si>
    <t>9125345121</t>
  </si>
  <si>
    <t>`359509842840149	mike@financeusa.com	Iwant$101818$	`10081978	manik narainsinghani</t>
  </si>
  <si>
    <t>9124701494</t>
  </si>
  <si>
    <t>MaKayla Shaffer</t>
  </si>
  <si>
    <t>4342566013372593</t>
  </si>
  <si>
    <t>527</t>
  </si>
  <si>
    <t>2088814559</t>
  </si>
  <si>
    <t>`359509847466601	ksinghani@me.com	singhani123	`101082	kapil singhani</t>
  </si>
  <si>
    <t>2299398520</t>
  </si>
  <si>
    <t>Jada Burgess</t>
  </si>
  <si>
    <t>4404760106035820</t>
  </si>
  <si>
    <t>1228</t>
  </si>
  <si>
    <t>070</t>
  </si>
  <si>
    <t>2705620807</t>
  </si>
  <si>
    <t>`359509847342117	ksinghani@me.com	singhani123	`101082	kapil singhani</t>
  </si>
  <si>
    <t>2299398517</t>
  </si>
  <si>
    <t>Mary Stevenson</t>
  </si>
  <si>
    <t>5538110001058616</t>
  </si>
  <si>
    <t>504</t>
  </si>
  <si>
    <t>`864644069643658	trishfinch22@gmail.com	Tereliye0808$	`022481	Trish Finch</t>
  </si>
  <si>
    <t>2299398190</t>
  </si>
  <si>
    <t>Adam Bell</t>
  </si>
  <si>
    <t>9122767999‬</t>
  </si>
  <si>
    <t>`359509845714077	maniksinghani@gmail.com	Soldout365$	`100174	geofrrey johnson</t>
  </si>
  <si>
    <t>9124701704</t>
  </si>
  <si>
    <t>5140680500535561</t>
  </si>
  <si>
    <t>0828</t>
  </si>
  <si>
    <t>572</t>
  </si>
  <si>
    <t>9124875727</t>
  </si>
  <si>
    <t>`359509845808358	johnsonbrooke22@yyahoo.com	Iwant$101818	`073181	brooke narainsinghani</t>
  </si>
  <si>
    <t>2299290173</t>
  </si>
  <si>
    <t>Karsen Stanger</t>
  </si>
  <si>
    <t>4758696058704454</t>
  </si>
  <si>
    <t>0227</t>
  </si>
  <si>
    <t>692</t>
  </si>
  <si>
    <t>12083203670</t>
  </si>
  <si>
    <t>`359509843531648	sb.llc@icloud.com	corbitt123	`050756	kenneth corbitt</t>
  </si>
  <si>
    <t>9124701725</t>
  </si>
  <si>
    <t>Edna Mclaine</t>
  </si>
  <si>
    <t>5496867367513225</t>
  </si>
  <si>
    <t>901</t>
  </si>
  <si>
    <t>`359509843016319	mike@financeusa.com	Iwant$101818$	`10081978	manik narainsinghani</t>
  </si>
  <si>
    <t>9124701475</t>
  </si>
  <si>
    <t>Valarie Davis</t>
  </si>
  <si>
    <t>javascript:void(0)</t>
  </si>
  <si>
    <t>`359956986560175	admin@apollobits.org	Soldout365$		Mary Glenn</t>
  </si>
  <si>
    <t>(229) 281-2766</t>
  </si>
  <si>
    <t>Davis Bruton</t>
  </si>
  <si>
    <t>4147202709698615</t>
  </si>
  <si>
    <t>973</t>
  </si>
  <si>
    <t>19125926357</t>
  </si>
  <si>
    <t>(912) 520-0266</t>
  </si>
  <si>
    <t>Alan Gwynn</t>
  </si>
  <si>
    <t>9122887142</t>
  </si>
  <si>
    <t>9125205907</t>
  </si>
  <si>
    <t>Rick Ziegler</t>
  </si>
  <si>
    <t>5275190039310400</t>
  </si>
  <si>
    <t>506</t>
  </si>
  <si>
    <t>2295607006</t>
  </si>
  <si>
    <t>9124876808</t>
  </si>
  <si>
    <t>Brittany Sills</t>
  </si>
  <si>
    <t>5140680500422604</t>
  </si>
  <si>
    <t>484</t>
  </si>
  <si>
    <t>9125200532</t>
  </si>
  <si>
    <t>(912) 520-8392</t>
  </si>
  <si>
    <t>April Manac</t>
  </si>
  <si>
    <t>2293751262</t>
  </si>
  <si>
    <t>9125208449</t>
  </si>
  <si>
    <t>Jimmy Clifton</t>
  </si>
  <si>
    <t>5140680500474399</t>
  </si>
  <si>
    <t>519</t>
  </si>
  <si>
    <t>9125200595</t>
  </si>
  <si>
    <t>9125209719</t>
  </si>
  <si>
    <t>Alyssa Hester</t>
  </si>
  <si>
    <t>5140680500519748</t>
  </si>
  <si>
    <t>502</t>
  </si>
  <si>
    <t>9122825839</t>
  </si>
  <si>
    <t>9125200775</t>
  </si>
  <si>
    <t>Landon Tinsley-85</t>
  </si>
  <si>
    <t>4147241010825228</t>
  </si>
  <si>
    <t>436</t>
  </si>
  <si>
    <t>4785504712</t>
  </si>
  <si>
    <t>9125205287</t>
  </si>
  <si>
    <t>2026-03-13</t>
  </si>
  <si>
    <t>April Touchton</t>
  </si>
  <si>
    <t>9125208558</t>
  </si>
  <si>
    <t>Kathy Webb</t>
  </si>
  <si>
    <t>5178058986214032</t>
  </si>
  <si>
    <t>292</t>
  </si>
  <si>
    <t>9125990011</t>
  </si>
  <si>
    <t>9125200538</t>
  </si>
  <si>
    <t>2026-03-17</t>
  </si>
  <si>
    <t>Alan Pittman</t>
  </si>
  <si>
    <t>5332480138235074</t>
  </si>
  <si>
    <t>9124709999</t>
  </si>
  <si>
    <t>9125200323</t>
  </si>
  <si>
    <t>(912) 520-9710</t>
  </si>
  <si>
    <t>Jessica Mcmillian</t>
  </si>
  <si>
    <t>5140680500530851</t>
  </si>
  <si>
    <t>110</t>
  </si>
  <si>
    <t>2294158173</t>
  </si>
  <si>
    <t>(912) 487-6406</t>
  </si>
  <si>
    <t>Bryar Browing</t>
  </si>
  <si>
    <t>5140680500428601</t>
  </si>
  <si>
    <t>139</t>
  </si>
  <si>
    <t>9125209090</t>
  </si>
  <si>
    <t>9125208385</t>
  </si>
  <si>
    <t>Samantha Griffis</t>
  </si>
  <si>
    <t>5140680500542948</t>
  </si>
  <si>
    <t>489</t>
  </si>
  <si>
    <t>9125208098</t>
  </si>
  <si>
    <t>9125200697</t>
  </si>
  <si>
    <t>Sebrina Allen</t>
  </si>
  <si>
    <t>5140680500437024</t>
  </si>
  <si>
    <t>673</t>
  </si>
  <si>
    <t>9125999468</t>
  </si>
  <si>
    <t>9125209235</t>
  </si>
  <si>
    <t>Amber Touchton</t>
  </si>
  <si>
    <t>9125999381</t>
  </si>
  <si>
    <t>9125200882</t>
  </si>
  <si>
    <t>Ashlin Peagler</t>
  </si>
  <si>
    <t>4024645581498975</t>
  </si>
  <si>
    <t>465</t>
  </si>
  <si>
    <t>2296307778</t>
  </si>
  <si>
    <t>9125208513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</si>
</sst>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0"/>
      <name val="Helvetica"/>
      <family val="2"/>
    </font>
    <font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164" fontId="2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1"/>
    <xf numFmtId="0" fontId="6" fillId="3" borderId="0" xfId="1" applyFont="1" applyFill="1" applyAlignment="1">
      <alignment horizontal="left"/>
    </xf>
    <xf numFmtId="16" fontId="0" fillId="0" borderId="0" xfId="0" applyNumberForma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maniksinghani@hot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javascript:void(0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/>
  </sheetViews>
  <sheetFormatPr baseColWidth="10" defaultColWidth="8.83203125" defaultRowHeight="15" x14ac:dyDescent="0.2"/>
  <cols>
    <col min="1" max="1" width="10" customWidth="1"/>
    <col min="2" max="2" width="11" customWidth="1"/>
    <col min="3" max="3" width="10" customWidth="1"/>
    <col min="4" max="4" width="7" customWidth="1"/>
    <col min="5" max="6" width="10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>
        <v>3</v>
      </c>
      <c r="C2" t="s">
        <v>7</v>
      </c>
      <c r="D2">
        <v>1</v>
      </c>
      <c r="E2">
        <v>0</v>
      </c>
      <c r="F2">
        <v>1</v>
      </c>
    </row>
    <row r="3" spans="1:6" x14ac:dyDescent="0.2">
      <c r="A3" t="s">
        <v>8</v>
      </c>
      <c r="B3">
        <v>46</v>
      </c>
      <c r="C3" t="s">
        <v>9</v>
      </c>
      <c r="D3">
        <v>33</v>
      </c>
      <c r="E3">
        <v>5</v>
      </c>
      <c r="F3">
        <v>0</v>
      </c>
    </row>
    <row r="4" spans="1:6" x14ac:dyDescent="0.2">
      <c r="A4" t="s">
        <v>10</v>
      </c>
      <c r="B4">
        <v>1</v>
      </c>
      <c r="C4" t="s">
        <v>11</v>
      </c>
      <c r="D4">
        <v>1</v>
      </c>
      <c r="E4">
        <v>0</v>
      </c>
      <c r="F4">
        <v>0</v>
      </c>
    </row>
    <row r="5" spans="1:6" x14ac:dyDescent="0.2">
      <c r="A5" t="s">
        <v>12</v>
      </c>
      <c r="B5">
        <v>7</v>
      </c>
      <c r="C5" t="s">
        <v>13</v>
      </c>
      <c r="D5">
        <v>6</v>
      </c>
      <c r="E5">
        <v>0</v>
      </c>
      <c r="F5">
        <v>0</v>
      </c>
    </row>
    <row r="6" spans="1:6" x14ac:dyDescent="0.2">
      <c r="A6" t="s">
        <v>14</v>
      </c>
      <c r="B6">
        <v>54</v>
      </c>
      <c r="C6" t="s">
        <v>15</v>
      </c>
      <c r="D6">
        <v>28</v>
      </c>
      <c r="E6">
        <v>0</v>
      </c>
      <c r="F6">
        <v>1</v>
      </c>
    </row>
    <row r="7" spans="1:6" x14ac:dyDescent="0.2">
      <c r="A7" t="s">
        <v>16</v>
      </c>
      <c r="B7">
        <v>20</v>
      </c>
      <c r="C7" t="s">
        <v>17</v>
      </c>
      <c r="D7">
        <v>9</v>
      </c>
      <c r="E7">
        <v>0</v>
      </c>
      <c r="F7">
        <v>0</v>
      </c>
    </row>
    <row r="8" spans="1:6" x14ac:dyDescent="0.2">
      <c r="A8" t="s">
        <v>18</v>
      </c>
      <c r="B8">
        <v>131</v>
      </c>
      <c r="C8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51"/>
  <sheetViews>
    <sheetView tabSelected="1" workbookViewId="0">
      <selection activeCell="A42" sqref="A42"/>
    </sheetView>
  </sheetViews>
  <sheetFormatPr baseColWidth="10" defaultColWidth="8.83203125" defaultRowHeight="15" x14ac:dyDescent="0.2"/>
  <cols>
    <col min="1" max="1" width="13" style="5" customWidth="1"/>
    <col min="2" max="2" width="9" customWidth="1"/>
    <col min="3" max="3" width="11" customWidth="1"/>
    <col min="4" max="4" width="21.5" customWidth="1"/>
    <col min="5" max="5" width="3.1640625" customWidth="1"/>
    <col min="6" max="6" width="7" customWidth="1"/>
    <col min="7" max="7" width="5" customWidth="1"/>
    <col min="8" max="8" width="11.83203125" style="7" customWidth="1"/>
    <col min="9" max="9" width="13.33203125" customWidth="1"/>
    <col min="10" max="10" width="13" style="7" customWidth="1"/>
    <col min="11" max="11" width="1.1640625" customWidth="1"/>
    <col min="12" max="12" width="5.1640625" customWidth="1"/>
    <col min="13" max="13" width="1.6640625" customWidth="1"/>
    <col min="14" max="14" width="8.83203125" customWidth="1"/>
  </cols>
  <sheetData>
    <row r="1" spans="1:26" x14ac:dyDescent="0.2">
      <c r="A1" s="3" t="s">
        <v>20</v>
      </c>
      <c r="B1" s="2" t="s">
        <v>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6" t="s">
        <v>26</v>
      </c>
      <c r="I1" s="2" t="s">
        <v>27</v>
      </c>
      <c r="J1" s="6" t="s">
        <v>28</v>
      </c>
      <c r="K1" s="2" t="s">
        <v>29</v>
      </c>
      <c r="L1" t="s">
        <v>30</v>
      </c>
      <c r="M1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2" t="s">
        <v>36</v>
      </c>
      <c r="S1" s="2" t="s">
        <v>37</v>
      </c>
      <c r="T1" s="2" t="s">
        <v>38</v>
      </c>
      <c r="U1" s="2" t="s">
        <v>39</v>
      </c>
      <c r="V1" s="2" t="s">
        <v>40</v>
      </c>
      <c r="W1" s="2" t="s">
        <v>41</v>
      </c>
      <c r="X1" s="2" t="s">
        <v>42</v>
      </c>
      <c r="Y1" t="s">
        <v>43</v>
      </c>
      <c r="Z1" t="s">
        <v>44</v>
      </c>
    </row>
    <row r="2" spans="1:26" x14ac:dyDescent="0.2">
      <c r="A2" s="9">
        <v>46113</v>
      </c>
      <c r="B2" t="s">
        <v>8</v>
      </c>
      <c r="C2" t="s">
        <v>45</v>
      </c>
      <c r="D2" t="s">
        <v>46</v>
      </c>
      <c r="E2" t="s">
        <v>47</v>
      </c>
      <c r="F2" t="s">
        <v>48</v>
      </c>
      <c r="G2" t="s">
        <v>49</v>
      </c>
      <c r="H2" s="7">
        <f t="shared" ref="H2:H33" si="0">SUM(N2:Y2)</f>
        <v>0</v>
      </c>
      <c r="J2" s="7">
        <v>2294748849</v>
      </c>
      <c r="L2">
        <v>1</v>
      </c>
      <c r="O2" s="7"/>
    </row>
    <row r="3" spans="1:26" x14ac:dyDescent="0.2">
      <c r="A3" s="9">
        <v>46113</v>
      </c>
      <c r="B3" t="s">
        <v>8</v>
      </c>
      <c r="C3" t="s">
        <v>45</v>
      </c>
      <c r="D3" t="s">
        <v>50</v>
      </c>
      <c r="E3" t="s">
        <v>51</v>
      </c>
      <c r="F3" t="s">
        <v>52</v>
      </c>
      <c r="G3" t="s">
        <v>53</v>
      </c>
      <c r="H3" s="7">
        <f t="shared" si="0"/>
        <v>0</v>
      </c>
      <c r="J3" s="7" t="s">
        <v>54</v>
      </c>
      <c r="L3">
        <v>1</v>
      </c>
      <c r="O3" s="7"/>
    </row>
    <row r="4" spans="1:26" x14ac:dyDescent="0.2">
      <c r="A4" s="9">
        <v>46113</v>
      </c>
      <c r="B4" t="s">
        <v>8</v>
      </c>
      <c r="C4" t="s">
        <v>45</v>
      </c>
      <c r="D4" t="s">
        <v>55</v>
      </c>
      <c r="E4" t="s">
        <v>56</v>
      </c>
      <c r="F4" t="s">
        <v>57</v>
      </c>
      <c r="G4" t="s">
        <v>58</v>
      </c>
      <c r="H4" s="7">
        <f t="shared" si="0"/>
        <v>0</v>
      </c>
      <c r="J4" s="7">
        <v>2292928887</v>
      </c>
      <c r="L4">
        <v>1</v>
      </c>
      <c r="O4" s="7"/>
    </row>
    <row r="5" spans="1:26" x14ac:dyDescent="0.2">
      <c r="A5" s="10">
        <v>46113</v>
      </c>
      <c r="B5" t="s">
        <v>8</v>
      </c>
      <c r="C5" t="s">
        <v>45</v>
      </c>
      <c r="D5" t="s">
        <v>59</v>
      </c>
      <c r="E5" t="s">
        <v>60</v>
      </c>
      <c r="F5" t="s">
        <v>61</v>
      </c>
      <c r="G5" t="s">
        <v>62</v>
      </c>
      <c r="H5" s="7">
        <f t="shared" si="0"/>
        <v>0</v>
      </c>
      <c r="J5" s="7">
        <v>9125508537</v>
      </c>
      <c r="L5">
        <v>1</v>
      </c>
      <c r="O5" s="7"/>
    </row>
    <row r="6" spans="1:26" x14ac:dyDescent="0.2">
      <c r="A6" s="9">
        <v>46082</v>
      </c>
      <c r="B6" t="s">
        <v>8</v>
      </c>
      <c r="C6" t="s">
        <v>45</v>
      </c>
      <c r="D6" t="s">
        <v>63</v>
      </c>
      <c r="E6" t="s">
        <v>64</v>
      </c>
      <c r="H6" s="7">
        <f t="shared" si="0"/>
        <v>25</v>
      </c>
      <c r="J6" s="7" t="s">
        <v>65</v>
      </c>
      <c r="L6">
        <v>1</v>
      </c>
      <c r="O6" s="7"/>
      <c r="P6">
        <v>25</v>
      </c>
    </row>
    <row r="7" spans="1:26" x14ac:dyDescent="0.2">
      <c r="A7" s="10">
        <v>46113</v>
      </c>
      <c r="B7" t="s">
        <v>8</v>
      </c>
      <c r="C7" t="s">
        <v>66</v>
      </c>
      <c r="D7" t="s">
        <v>67</v>
      </c>
      <c r="E7" t="s">
        <v>68</v>
      </c>
      <c r="F7" t="s">
        <v>69</v>
      </c>
      <c r="G7" t="s">
        <v>70</v>
      </c>
      <c r="H7" s="7">
        <f t="shared" si="0"/>
        <v>0</v>
      </c>
      <c r="J7" s="7">
        <v>9125990553</v>
      </c>
      <c r="L7">
        <v>1</v>
      </c>
      <c r="O7" s="7"/>
    </row>
    <row r="8" spans="1:26" x14ac:dyDescent="0.2">
      <c r="A8" s="10">
        <v>46113</v>
      </c>
      <c r="B8" t="s">
        <v>8</v>
      </c>
      <c r="C8" t="s">
        <v>45</v>
      </c>
      <c r="D8" t="s">
        <v>71</v>
      </c>
      <c r="E8" t="s">
        <v>72</v>
      </c>
      <c r="F8" t="s">
        <v>73</v>
      </c>
      <c r="G8" t="s">
        <v>74</v>
      </c>
      <c r="H8" s="7">
        <f t="shared" si="0"/>
        <v>0</v>
      </c>
      <c r="L8">
        <v>1</v>
      </c>
      <c r="O8" s="7"/>
    </row>
    <row r="9" spans="1:26" x14ac:dyDescent="0.2">
      <c r="A9" s="9">
        <v>46114</v>
      </c>
      <c r="B9" t="s">
        <v>8</v>
      </c>
      <c r="C9" t="s">
        <v>45</v>
      </c>
      <c r="D9" t="s">
        <v>75</v>
      </c>
      <c r="E9" t="s">
        <v>76</v>
      </c>
      <c r="F9" t="s">
        <v>77</v>
      </c>
      <c r="G9" t="s">
        <v>78</v>
      </c>
      <c r="H9" s="7">
        <f t="shared" si="0"/>
        <v>0</v>
      </c>
      <c r="J9" s="7">
        <v>2295077932</v>
      </c>
      <c r="L9">
        <v>2</v>
      </c>
      <c r="O9" s="7"/>
    </row>
    <row r="10" spans="1:26" x14ac:dyDescent="0.2">
      <c r="A10" s="9">
        <v>46114</v>
      </c>
      <c r="B10" t="s">
        <v>8</v>
      </c>
      <c r="C10" t="s">
        <v>45</v>
      </c>
      <c r="D10" t="s">
        <v>79</v>
      </c>
      <c r="E10" t="s">
        <v>80</v>
      </c>
      <c r="F10" t="s">
        <v>48</v>
      </c>
      <c r="G10" t="s">
        <v>81</v>
      </c>
      <c r="H10" s="7">
        <f t="shared" si="0"/>
        <v>0</v>
      </c>
      <c r="J10" s="7" t="s">
        <v>82</v>
      </c>
      <c r="L10">
        <v>2</v>
      </c>
      <c r="O10" s="7"/>
    </row>
    <row r="11" spans="1:26" x14ac:dyDescent="0.2">
      <c r="A11" s="9">
        <v>46114</v>
      </c>
      <c r="B11" t="s">
        <v>8</v>
      </c>
      <c r="C11" t="s">
        <v>45</v>
      </c>
      <c r="D11" t="s">
        <v>83</v>
      </c>
      <c r="E11" t="s">
        <v>80</v>
      </c>
      <c r="F11" t="s">
        <v>48</v>
      </c>
      <c r="G11" t="s">
        <v>81</v>
      </c>
      <c r="H11" s="7">
        <f t="shared" si="0"/>
        <v>0</v>
      </c>
      <c r="J11" s="7" t="s">
        <v>82</v>
      </c>
      <c r="L11">
        <v>2</v>
      </c>
      <c r="O11" s="7"/>
    </row>
    <row r="12" spans="1:26" x14ac:dyDescent="0.2">
      <c r="A12" s="9">
        <v>46083</v>
      </c>
      <c r="B12" t="s">
        <v>8</v>
      </c>
      <c r="C12" t="s">
        <v>45</v>
      </c>
      <c r="D12" t="s">
        <v>84</v>
      </c>
      <c r="E12" t="s">
        <v>64</v>
      </c>
      <c r="H12" s="7">
        <f t="shared" si="0"/>
        <v>25</v>
      </c>
      <c r="J12" s="7" t="s">
        <v>85</v>
      </c>
      <c r="L12">
        <v>2</v>
      </c>
      <c r="O12" s="7" t="s">
        <v>45</v>
      </c>
      <c r="P12">
        <v>25</v>
      </c>
    </row>
    <row r="13" spans="1:26" x14ac:dyDescent="0.2">
      <c r="A13" s="9">
        <v>46114</v>
      </c>
      <c r="B13" t="s">
        <v>8</v>
      </c>
      <c r="C13" t="s">
        <v>45</v>
      </c>
      <c r="D13" t="s">
        <v>86</v>
      </c>
      <c r="E13" t="s">
        <v>87</v>
      </c>
      <c r="F13" t="s">
        <v>88</v>
      </c>
      <c r="G13" t="s">
        <v>89</v>
      </c>
      <c r="H13" s="7">
        <f t="shared" si="0"/>
        <v>0</v>
      </c>
      <c r="J13" s="7" t="s">
        <v>90</v>
      </c>
      <c r="L13">
        <v>2</v>
      </c>
      <c r="O13" s="7"/>
    </row>
    <row r="14" spans="1:26" x14ac:dyDescent="0.2">
      <c r="A14" s="9">
        <v>46114</v>
      </c>
      <c r="B14" t="s">
        <v>8</v>
      </c>
      <c r="C14" t="s">
        <v>45</v>
      </c>
      <c r="D14" t="s">
        <v>91</v>
      </c>
      <c r="E14" t="s">
        <v>92</v>
      </c>
      <c r="F14" t="s">
        <v>93</v>
      </c>
      <c r="G14" t="s">
        <v>94</v>
      </c>
      <c r="H14" s="7">
        <f t="shared" si="0"/>
        <v>0</v>
      </c>
      <c r="J14" s="7" t="s">
        <v>95</v>
      </c>
      <c r="L14">
        <v>2</v>
      </c>
      <c r="O14" s="7"/>
    </row>
    <row r="15" spans="1:26" x14ac:dyDescent="0.2">
      <c r="A15" s="9">
        <v>46088</v>
      </c>
      <c r="B15" t="s">
        <v>8</v>
      </c>
      <c r="C15" t="s">
        <v>45</v>
      </c>
      <c r="D15" t="s">
        <v>96</v>
      </c>
      <c r="E15" t="s">
        <v>64</v>
      </c>
      <c r="H15" s="7">
        <f t="shared" si="0"/>
        <v>25</v>
      </c>
      <c r="J15" s="7" t="s">
        <v>97</v>
      </c>
      <c r="L15">
        <v>7</v>
      </c>
      <c r="O15" s="7"/>
      <c r="P15">
        <v>25</v>
      </c>
    </row>
    <row r="16" spans="1:26" x14ac:dyDescent="0.2">
      <c r="A16" s="9">
        <v>46118</v>
      </c>
      <c r="B16" t="s">
        <v>8</v>
      </c>
      <c r="C16" t="s">
        <v>45</v>
      </c>
      <c r="D16" t="s">
        <v>98</v>
      </c>
      <c r="E16" t="s">
        <v>99</v>
      </c>
      <c r="H16" s="7">
        <f t="shared" si="0"/>
        <v>0</v>
      </c>
      <c r="J16" s="7">
        <v>2292928887</v>
      </c>
      <c r="L16">
        <v>6</v>
      </c>
      <c r="O16" s="7"/>
    </row>
    <row r="17" spans="1:26" x14ac:dyDescent="0.2">
      <c r="A17" s="9">
        <v>46118</v>
      </c>
      <c r="B17" t="s">
        <v>8</v>
      </c>
      <c r="C17" t="s">
        <v>45</v>
      </c>
      <c r="D17" t="s">
        <v>100</v>
      </c>
      <c r="H17">
        <f t="shared" si="0"/>
        <v>0</v>
      </c>
      <c r="J17" s="7">
        <v>9125201142</v>
      </c>
      <c r="L17">
        <v>6</v>
      </c>
    </row>
    <row r="18" spans="1:26" x14ac:dyDescent="0.2">
      <c r="A18" s="9">
        <v>46119</v>
      </c>
      <c r="B18" t="s">
        <v>8</v>
      </c>
      <c r="C18" t="s">
        <v>45</v>
      </c>
      <c r="D18" t="s">
        <v>101</v>
      </c>
      <c r="E18" t="s">
        <v>102</v>
      </c>
      <c r="F18" t="s">
        <v>103</v>
      </c>
      <c r="G18" t="s">
        <v>104</v>
      </c>
      <c r="H18" s="7">
        <f t="shared" si="0"/>
        <v>0</v>
      </c>
      <c r="J18" s="7" t="s">
        <v>105</v>
      </c>
      <c r="L18">
        <v>7</v>
      </c>
      <c r="O18" s="7"/>
    </row>
    <row r="19" spans="1:26" x14ac:dyDescent="0.2">
      <c r="A19" s="9">
        <v>46119</v>
      </c>
      <c r="B19" t="s">
        <v>8</v>
      </c>
      <c r="C19" t="s">
        <v>45</v>
      </c>
      <c r="D19" t="s">
        <v>106</v>
      </c>
      <c r="E19" t="s">
        <v>107</v>
      </c>
      <c r="F19" t="s">
        <v>93</v>
      </c>
      <c r="G19" t="s">
        <v>108</v>
      </c>
      <c r="H19" s="7">
        <f t="shared" si="0"/>
        <v>0</v>
      </c>
      <c r="J19" s="7">
        <v>9125201009</v>
      </c>
      <c r="L19">
        <v>7</v>
      </c>
      <c r="O19" s="7"/>
    </row>
    <row r="20" spans="1:26" x14ac:dyDescent="0.2">
      <c r="A20" s="9">
        <v>46119</v>
      </c>
      <c r="B20" t="s">
        <v>8</v>
      </c>
      <c r="C20" t="s">
        <v>109</v>
      </c>
      <c r="D20" t="s">
        <v>110</v>
      </c>
      <c r="E20" t="s">
        <v>111</v>
      </c>
      <c r="F20" t="s">
        <v>112</v>
      </c>
      <c r="G20" t="s">
        <v>113</v>
      </c>
      <c r="H20" s="7">
        <f t="shared" si="0"/>
        <v>0</v>
      </c>
      <c r="J20" s="7" t="s">
        <v>114</v>
      </c>
      <c r="L20">
        <v>7</v>
      </c>
      <c r="O20" s="7"/>
      <c r="Z20" t="s">
        <v>115</v>
      </c>
    </row>
    <row r="21" spans="1:26" x14ac:dyDescent="0.2">
      <c r="A21" s="9">
        <v>46119</v>
      </c>
      <c r="B21" t="s">
        <v>8</v>
      </c>
      <c r="C21" t="s">
        <v>45</v>
      </c>
      <c r="D21" t="s">
        <v>116</v>
      </c>
      <c r="E21" t="s">
        <v>117</v>
      </c>
      <c r="F21" t="s">
        <v>118</v>
      </c>
      <c r="G21" t="s">
        <v>119</v>
      </c>
      <c r="H21" s="7">
        <f t="shared" si="0"/>
        <v>0</v>
      </c>
      <c r="J21" s="7" t="s">
        <v>120</v>
      </c>
      <c r="L21">
        <v>7</v>
      </c>
      <c r="O21" s="7"/>
    </row>
    <row r="22" spans="1:26" x14ac:dyDescent="0.2">
      <c r="A22" s="9">
        <v>46119</v>
      </c>
      <c r="B22" t="s">
        <v>8</v>
      </c>
      <c r="C22" t="s">
        <v>45</v>
      </c>
      <c r="D22" t="s">
        <v>121</v>
      </c>
      <c r="E22" t="s">
        <v>122</v>
      </c>
      <c r="F22" t="s">
        <v>123</v>
      </c>
      <c r="G22" t="s">
        <v>124</v>
      </c>
      <c r="H22" s="7">
        <f t="shared" si="0"/>
        <v>0</v>
      </c>
      <c r="J22" s="7">
        <v>9125200753</v>
      </c>
      <c r="L22">
        <v>7</v>
      </c>
      <c r="O22" s="7"/>
    </row>
    <row r="23" spans="1:26" x14ac:dyDescent="0.2">
      <c r="A23" s="9">
        <v>46119</v>
      </c>
      <c r="B23" t="s">
        <v>8</v>
      </c>
      <c r="C23" t="s">
        <v>45</v>
      </c>
      <c r="D23" t="s">
        <v>125</v>
      </c>
      <c r="E23" t="s">
        <v>126</v>
      </c>
      <c r="F23" t="s">
        <v>127</v>
      </c>
      <c r="G23" t="s">
        <v>128</v>
      </c>
      <c r="H23" s="7">
        <f t="shared" si="0"/>
        <v>0</v>
      </c>
      <c r="J23" s="7" t="s">
        <v>129</v>
      </c>
      <c r="L23">
        <v>7</v>
      </c>
      <c r="O23" s="7"/>
    </row>
    <row r="24" spans="1:26" x14ac:dyDescent="0.2">
      <c r="A24" s="9">
        <v>46119</v>
      </c>
      <c r="B24" t="s">
        <v>8</v>
      </c>
      <c r="C24" t="s">
        <v>109</v>
      </c>
      <c r="D24" t="s">
        <v>130</v>
      </c>
      <c r="E24" t="s">
        <v>131</v>
      </c>
      <c r="F24" t="s">
        <v>132</v>
      </c>
      <c r="G24" t="s">
        <v>133</v>
      </c>
      <c r="H24" s="7">
        <f t="shared" si="0"/>
        <v>0</v>
      </c>
      <c r="J24" s="7" t="s">
        <v>134</v>
      </c>
      <c r="L24">
        <v>7</v>
      </c>
      <c r="O24" s="7"/>
    </row>
    <row r="25" spans="1:26" x14ac:dyDescent="0.2">
      <c r="A25" s="9">
        <v>46120</v>
      </c>
      <c r="B25" t="s">
        <v>8</v>
      </c>
      <c r="C25" t="s">
        <v>45</v>
      </c>
      <c r="D25" t="s">
        <v>135</v>
      </c>
      <c r="E25" t="s">
        <v>136</v>
      </c>
      <c r="F25" t="s">
        <v>137</v>
      </c>
      <c r="G25" t="s">
        <v>138</v>
      </c>
      <c r="H25" s="7">
        <f t="shared" si="0"/>
        <v>0</v>
      </c>
      <c r="J25" s="7" t="s">
        <v>139</v>
      </c>
      <c r="L25">
        <v>8</v>
      </c>
      <c r="O25" s="7"/>
    </row>
    <row r="26" spans="1:26" x14ac:dyDescent="0.2">
      <c r="A26" s="9">
        <v>46121</v>
      </c>
      <c r="B26" t="s">
        <v>8</v>
      </c>
      <c r="C26" t="s">
        <v>45</v>
      </c>
      <c r="D26" t="s">
        <v>140</v>
      </c>
      <c r="E26" t="s">
        <v>141</v>
      </c>
      <c r="F26" t="s">
        <v>61</v>
      </c>
      <c r="G26" t="s">
        <v>142</v>
      </c>
      <c r="H26" s="7">
        <f t="shared" si="0"/>
        <v>0</v>
      </c>
      <c r="J26" s="7" t="s">
        <v>143</v>
      </c>
      <c r="L26">
        <v>9</v>
      </c>
      <c r="O26" s="7"/>
    </row>
    <row r="27" spans="1:26" x14ac:dyDescent="0.2">
      <c r="A27" s="9">
        <v>46121</v>
      </c>
      <c r="B27" t="s">
        <v>8</v>
      </c>
      <c r="C27" t="s">
        <v>144</v>
      </c>
      <c r="D27" t="s">
        <v>145</v>
      </c>
      <c r="E27" t="s">
        <v>146</v>
      </c>
      <c r="F27" t="s">
        <v>147</v>
      </c>
      <c r="G27" t="s">
        <v>148</v>
      </c>
      <c r="H27" s="7">
        <f t="shared" si="0"/>
        <v>0</v>
      </c>
      <c r="J27" s="7" t="s">
        <v>149</v>
      </c>
      <c r="L27">
        <v>9</v>
      </c>
      <c r="O27" s="7"/>
    </row>
    <row r="28" spans="1:26" x14ac:dyDescent="0.2">
      <c r="A28" s="9">
        <v>46121</v>
      </c>
      <c r="B28" t="s">
        <v>8</v>
      </c>
      <c r="C28" t="s">
        <v>45</v>
      </c>
      <c r="D28" t="s">
        <v>150</v>
      </c>
      <c r="E28" t="s">
        <v>151</v>
      </c>
      <c r="F28" t="s">
        <v>152</v>
      </c>
      <c r="G28" t="s">
        <v>153</v>
      </c>
      <c r="H28" s="7">
        <f t="shared" si="0"/>
        <v>50</v>
      </c>
      <c r="J28" s="7" t="s">
        <v>149</v>
      </c>
      <c r="L28">
        <v>9</v>
      </c>
      <c r="N28">
        <v>25</v>
      </c>
      <c r="O28" s="7">
        <v>25</v>
      </c>
    </row>
    <row r="29" spans="1:26" x14ac:dyDescent="0.2">
      <c r="A29" s="9">
        <v>46090</v>
      </c>
      <c r="B29" t="s">
        <v>8</v>
      </c>
      <c r="C29" t="s">
        <v>45</v>
      </c>
      <c r="D29" t="s">
        <v>154</v>
      </c>
      <c r="H29" s="7">
        <f t="shared" si="0"/>
        <v>25</v>
      </c>
      <c r="J29" s="7" t="s">
        <v>149</v>
      </c>
      <c r="L29">
        <v>9</v>
      </c>
      <c r="O29" s="7">
        <v>25</v>
      </c>
      <c r="Z29" t="s">
        <v>115</v>
      </c>
    </row>
    <row r="30" spans="1:26" x14ac:dyDescent="0.2">
      <c r="A30" s="9">
        <v>46121</v>
      </c>
      <c r="B30" t="s">
        <v>8</v>
      </c>
      <c r="C30" t="s">
        <v>45</v>
      </c>
      <c r="D30" t="s">
        <v>155</v>
      </c>
      <c r="E30" t="s">
        <v>156</v>
      </c>
      <c r="F30" t="s">
        <v>157</v>
      </c>
      <c r="G30" t="s">
        <v>158</v>
      </c>
      <c r="H30" s="7">
        <f t="shared" si="0"/>
        <v>0</v>
      </c>
      <c r="J30" s="7" t="s">
        <v>159</v>
      </c>
      <c r="L30">
        <v>9</v>
      </c>
      <c r="O30" s="7"/>
    </row>
    <row r="31" spans="1:26" x14ac:dyDescent="0.2">
      <c r="A31" s="9">
        <v>46121</v>
      </c>
      <c r="B31" t="s">
        <v>8</v>
      </c>
      <c r="C31" t="s">
        <v>45</v>
      </c>
      <c r="D31" t="s">
        <v>160</v>
      </c>
      <c r="E31" t="s">
        <v>161</v>
      </c>
      <c r="F31" t="s">
        <v>162</v>
      </c>
      <c r="G31" t="s">
        <v>163</v>
      </c>
      <c r="H31" s="7">
        <f t="shared" si="0"/>
        <v>0</v>
      </c>
      <c r="J31" s="7" t="s">
        <v>65</v>
      </c>
      <c r="L31">
        <v>9</v>
      </c>
      <c r="O31" s="7"/>
    </row>
    <row r="32" spans="1:26" x14ac:dyDescent="0.2">
      <c r="A32" s="9">
        <v>46153</v>
      </c>
      <c r="B32" t="s">
        <v>8</v>
      </c>
      <c r="C32" t="s">
        <v>45</v>
      </c>
      <c r="D32" t="s">
        <v>164</v>
      </c>
      <c r="E32" t="s">
        <v>165</v>
      </c>
      <c r="F32" t="s">
        <v>166</v>
      </c>
      <c r="G32" t="s">
        <v>167</v>
      </c>
      <c r="H32" s="7">
        <f t="shared" si="0"/>
        <v>0</v>
      </c>
      <c r="J32" s="7" t="s">
        <v>168</v>
      </c>
      <c r="L32">
        <v>11</v>
      </c>
      <c r="O32" s="7"/>
    </row>
    <row r="33" spans="1:26" x14ac:dyDescent="0.2">
      <c r="A33" s="9">
        <v>46121</v>
      </c>
      <c r="B33" t="s">
        <v>8</v>
      </c>
      <c r="C33" t="s">
        <v>45</v>
      </c>
      <c r="D33" t="s">
        <v>169</v>
      </c>
      <c r="E33" t="s">
        <v>64</v>
      </c>
      <c r="H33" s="7">
        <f t="shared" si="0"/>
        <v>25</v>
      </c>
      <c r="J33" s="7" t="s">
        <v>159</v>
      </c>
      <c r="L33">
        <v>9</v>
      </c>
      <c r="O33" s="7">
        <v>0</v>
      </c>
      <c r="P33">
        <v>25</v>
      </c>
    </row>
    <row r="34" spans="1:26" x14ac:dyDescent="0.2">
      <c r="A34" s="9">
        <v>46123</v>
      </c>
      <c r="B34" t="s">
        <v>8</v>
      </c>
      <c r="C34">
        <v>0.01</v>
      </c>
      <c r="D34" t="s">
        <v>170</v>
      </c>
      <c r="E34" t="s">
        <v>171</v>
      </c>
      <c r="H34" s="7">
        <f t="shared" ref="H34:H51" si="1">SUM(N34:Y34)</f>
        <v>0</v>
      </c>
      <c r="J34" s="7">
        <v>9125208688</v>
      </c>
      <c r="L34">
        <v>11</v>
      </c>
      <c r="O34" s="7"/>
    </row>
    <row r="35" spans="1:26" x14ac:dyDescent="0.2">
      <c r="A35" s="9">
        <v>46123</v>
      </c>
      <c r="B35" t="s">
        <v>8</v>
      </c>
      <c r="C35">
        <v>0.01</v>
      </c>
      <c r="D35" t="s">
        <v>172</v>
      </c>
      <c r="E35" t="s">
        <v>171</v>
      </c>
      <c r="H35" s="7">
        <f t="shared" si="1"/>
        <v>0</v>
      </c>
      <c r="J35" s="7">
        <v>9125208605</v>
      </c>
      <c r="L35">
        <v>11</v>
      </c>
      <c r="O35" s="7"/>
    </row>
    <row r="36" spans="1:26" x14ac:dyDescent="0.2">
      <c r="A36" s="9">
        <v>46092</v>
      </c>
      <c r="B36" t="s">
        <v>8</v>
      </c>
      <c r="C36" t="s">
        <v>45</v>
      </c>
      <c r="D36" t="s">
        <v>173</v>
      </c>
      <c r="E36" t="s">
        <v>64</v>
      </c>
      <c r="H36" s="7">
        <f t="shared" si="1"/>
        <v>25</v>
      </c>
      <c r="J36" s="7">
        <v>2295483551</v>
      </c>
      <c r="L36">
        <v>11</v>
      </c>
      <c r="O36" s="7"/>
      <c r="P36">
        <v>25</v>
      </c>
    </row>
    <row r="37" spans="1:26" x14ac:dyDescent="0.2">
      <c r="A37" s="9">
        <v>46123</v>
      </c>
      <c r="B37" t="s">
        <v>8</v>
      </c>
      <c r="C37" t="s">
        <v>45</v>
      </c>
      <c r="D37" t="s">
        <v>174</v>
      </c>
      <c r="E37" t="s">
        <v>175</v>
      </c>
      <c r="F37" t="s">
        <v>176</v>
      </c>
      <c r="G37" t="s">
        <v>177</v>
      </c>
      <c r="H37" s="7">
        <f t="shared" si="1"/>
        <v>0</v>
      </c>
      <c r="J37" s="7">
        <v>2294152632</v>
      </c>
      <c r="L37">
        <v>13</v>
      </c>
      <c r="O37" s="7"/>
    </row>
    <row r="38" spans="1:26" x14ac:dyDescent="0.2">
      <c r="A38" s="9">
        <v>46098</v>
      </c>
      <c r="B38" t="s">
        <v>8</v>
      </c>
      <c r="C38" t="s">
        <v>45</v>
      </c>
      <c r="D38" t="s">
        <v>178</v>
      </c>
      <c r="E38" t="s">
        <v>179</v>
      </c>
      <c r="F38" t="s">
        <v>180</v>
      </c>
      <c r="G38" t="s">
        <v>181</v>
      </c>
      <c r="H38" s="7">
        <f t="shared" si="1"/>
        <v>25</v>
      </c>
      <c r="J38" s="7" t="s">
        <v>182</v>
      </c>
      <c r="L38">
        <v>17</v>
      </c>
      <c r="O38" s="7"/>
      <c r="P38">
        <v>25</v>
      </c>
    </row>
    <row r="39" spans="1:26" x14ac:dyDescent="0.2">
      <c r="A39" s="9">
        <v>46101</v>
      </c>
      <c r="B39" t="s">
        <v>8</v>
      </c>
      <c r="C39" t="s">
        <v>45</v>
      </c>
      <c r="D39" t="s">
        <v>183</v>
      </c>
      <c r="E39">
        <v>5538110004597770</v>
      </c>
      <c r="F39">
        <v>130</v>
      </c>
      <c r="G39">
        <v>475</v>
      </c>
      <c r="H39" s="7">
        <f t="shared" si="1"/>
        <v>0</v>
      </c>
      <c r="J39" s="7">
        <v>2293562355</v>
      </c>
      <c r="L39">
        <v>20</v>
      </c>
      <c r="O39" s="7"/>
      <c r="Z39" t="s">
        <v>115</v>
      </c>
    </row>
    <row r="40" spans="1:26" x14ac:dyDescent="0.2">
      <c r="A40" s="9">
        <v>46101</v>
      </c>
      <c r="B40" t="s">
        <v>8</v>
      </c>
      <c r="C40" t="s">
        <v>45</v>
      </c>
      <c r="D40" t="s">
        <v>184</v>
      </c>
      <c r="E40" t="s">
        <v>185</v>
      </c>
      <c r="F40" t="s">
        <v>186</v>
      </c>
      <c r="G40" t="s">
        <v>187</v>
      </c>
      <c r="H40" s="7">
        <f t="shared" si="1"/>
        <v>0</v>
      </c>
      <c r="J40" s="7" t="s">
        <v>188</v>
      </c>
      <c r="L40">
        <v>20</v>
      </c>
      <c r="O40" s="7"/>
    </row>
    <row r="41" spans="1:26" x14ac:dyDescent="0.2">
      <c r="A41" s="9">
        <v>46101</v>
      </c>
      <c r="B41" t="s">
        <v>8</v>
      </c>
      <c r="C41" t="s">
        <v>45</v>
      </c>
      <c r="D41" t="s">
        <v>189</v>
      </c>
      <c r="E41" t="s">
        <v>190</v>
      </c>
      <c r="F41" t="s">
        <v>57</v>
      </c>
      <c r="G41" t="s">
        <v>191</v>
      </c>
      <c r="H41" s="7">
        <f t="shared" si="1"/>
        <v>0</v>
      </c>
      <c r="J41" s="7" t="s">
        <v>192</v>
      </c>
      <c r="L41">
        <v>20</v>
      </c>
      <c r="O41" s="7"/>
    </row>
    <row r="42" spans="1:26" x14ac:dyDescent="0.2">
      <c r="A42" s="9">
        <v>46074</v>
      </c>
      <c r="B42" t="s">
        <v>8</v>
      </c>
      <c r="C42" t="s">
        <v>45</v>
      </c>
      <c r="D42" t="s">
        <v>193</v>
      </c>
      <c r="E42" t="s">
        <v>194</v>
      </c>
      <c r="F42" t="s">
        <v>137</v>
      </c>
      <c r="G42" t="s">
        <v>195</v>
      </c>
      <c r="H42" s="7">
        <f t="shared" si="1"/>
        <v>25</v>
      </c>
      <c r="J42" s="7" t="s">
        <v>196</v>
      </c>
      <c r="L42">
        <v>21</v>
      </c>
      <c r="O42" s="7">
        <v>25</v>
      </c>
    </row>
    <row r="43" spans="1:26" x14ac:dyDescent="0.2">
      <c r="A43" s="9">
        <v>46103</v>
      </c>
      <c r="B43" t="s">
        <v>8</v>
      </c>
      <c r="C43" t="s">
        <v>45</v>
      </c>
      <c r="D43" t="s">
        <v>197</v>
      </c>
      <c r="E43" t="s">
        <v>198</v>
      </c>
      <c r="F43" t="s">
        <v>152</v>
      </c>
      <c r="G43" t="s">
        <v>199</v>
      </c>
      <c r="H43" s="7">
        <f t="shared" si="1"/>
        <v>0</v>
      </c>
      <c r="J43" s="7">
        <v>4789522680</v>
      </c>
      <c r="L43">
        <v>22</v>
      </c>
      <c r="O43" s="7"/>
    </row>
    <row r="44" spans="1:26" x14ac:dyDescent="0.2">
      <c r="A44" s="9">
        <v>46077</v>
      </c>
      <c r="B44" t="s">
        <v>8</v>
      </c>
      <c r="C44" t="s">
        <v>45</v>
      </c>
      <c r="D44" t="s">
        <v>200</v>
      </c>
      <c r="E44" t="s">
        <v>201</v>
      </c>
      <c r="F44" t="s">
        <v>202</v>
      </c>
      <c r="G44" t="s">
        <v>203</v>
      </c>
      <c r="H44" s="7">
        <f t="shared" si="1"/>
        <v>50</v>
      </c>
      <c r="J44" s="7">
        <v>8602071223</v>
      </c>
      <c r="L44">
        <v>24</v>
      </c>
      <c r="N44">
        <v>25</v>
      </c>
      <c r="O44" s="7">
        <v>25</v>
      </c>
    </row>
    <row r="45" spans="1:26" ht="16" customHeight="1" x14ac:dyDescent="0.2">
      <c r="A45" s="9">
        <v>46105</v>
      </c>
      <c r="B45" t="s">
        <v>8</v>
      </c>
      <c r="C45" t="s">
        <v>45</v>
      </c>
      <c r="D45" t="s">
        <v>204</v>
      </c>
      <c r="E45" t="s">
        <v>205</v>
      </c>
      <c r="F45" t="s">
        <v>206</v>
      </c>
      <c r="G45" t="s">
        <v>207</v>
      </c>
      <c r="H45" s="7">
        <f t="shared" si="1"/>
        <v>0</v>
      </c>
      <c r="J45" s="8" t="s">
        <v>208</v>
      </c>
      <c r="L45">
        <v>24</v>
      </c>
      <c r="O45" s="7"/>
    </row>
    <row r="46" spans="1:26" x14ac:dyDescent="0.2">
      <c r="A46" s="9">
        <v>46105</v>
      </c>
      <c r="B46" t="s">
        <v>8</v>
      </c>
      <c r="C46" t="s">
        <v>45</v>
      </c>
      <c r="D46" t="s">
        <v>209</v>
      </c>
      <c r="E46" t="s">
        <v>210</v>
      </c>
      <c r="F46" t="s">
        <v>93</v>
      </c>
      <c r="G46" t="s">
        <v>211</v>
      </c>
      <c r="H46" s="7">
        <f t="shared" si="1"/>
        <v>0</v>
      </c>
      <c r="J46" s="7" t="s">
        <v>196</v>
      </c>
      <c r="L46">
        <v>24</v>
      </c>
      <c r="O46" s="7"/>
    </row>
    <row r="47" spans="1:26" x14ac:dyDescent="0.2">
      <c r="A47" s="9">
        <v>46105</v>
      </c>
      <c r="B47" t="s">
        <v>8</v>
      </c>
      <c r="C47" t="s">
        <v>45</v>
      </c>
      <c r="D47" t="s">
        <v>212</v>
      </c>
      <c r="E47" t="s">
        <v>213</v>
      </c>
      <c r="F47" t="s">
        <v>214</v>
      </c>
      <c r="G47" t="s">
        <v>215</v>
      </c>
      <c r="H47" s="7">
        <f t="shared" si="1"/>
        <v>0</v>
      </c>
      <c r="J47" s="7" t="s">
        <v>216</v>
      </c>
      <c r="L47">
        <v>24</v>
      </c>
      <c r="O47" s="7"/>
    </row>
    <row r="48" spans="1:26" x14ac:dyDescent="0.2">
      <c r="A48" s="9">
        <v>46105</v>
      </c>
      <c r="B48" t="s">
        <v>8</v>
      </c>
      <c r="C48" t="s">
        <v>45</v>
      </c>
      <c r="D48" t="s">
        <v>217</v>
      </c>
      <c r="H48" s="7">
        <f t="shared" si="1"/>
        <v>0</v>
      </c>
      <c r="J48" s="7" t="s">
        <v>218</v>
      </c>
      <c r="L48">
        <v>24</v>
      </c>
      <c r="O48" s="7"/>
    </row>
    <row r="49" spans="1:15" x14ac:dyDescent="0.2">
      <c r="A49" s="9">
        <v>46108</v>
      </c>
      <c r="B49" t="s">
        <v>8</v>
      </c>
      <c r="C49" t="s">
        <v>45</v>
      </c>
      <c r="D49" t="s">
        <v>219</v>
      </c>
      <c r="E49" t="s">
        <v>220</v>
      </c>
      <c r="F49" t="s">
        <v>221</v>
      </c>
      <c r="G49" t="s">
        <v>222</v>
      </c>
      <c r="H49" s="7">
        <f t="shared" si="1"/>
        <v>0</v>
      </c>
      <c r="J49" s="7" t="s">
        <v>223</v>
      </c>
      <c r="L49">
        <v>27</v>
      </c>
      <c r="O49" s="7"/>
    </row>
    <row r="50" spans="1:15" x14ac:dyDescent="0.2">
      <c r="A50" s="9">
        <v>46108</v>
      </c>
      <c r="B50" t="s">
        <v>8</v>
      </c>
      <c r="C50" t="s">
        <v>224</v>
      </c>
      <c r="D50" t="s">
        <v>225</v>
      </c>
      <c r="E50" t="s">
        <v>226</v>
      </c>
      <c r="F50" t="s">
        <v>152</v>
      </c>
      <c r="G50" t="s">
        <v>227</v>
      </c>
      <c r="H50" s="7">
        <f t="shared" si="1"/>
        <v>0</v>
      </c>
      <c r="J50" s="7" t="s">
        <v>228</v>
      </c>
      <c r="L50">
        <v>27</v>
      </c>
      <c r="O50" s="7"/>
    </row>
    <row r="51" spans="1:15" x14ac:dyDescent="0.2">
      <c r="A51" s="9">
        <v>46166</v>
      </c>
      <c r="B51" t="s">
        <v>8</v>
      </c>
      <c r="C51" t="s">
        <v>45</v>
      </c>
      <c r="D51" t="s">
        <v>229</v>
      </c>
      <c r="E51">
        <v>5218531601958560</v>
      </c>
      <c r="F51">
        <v>328</v>
      </c>
      <c r="G51">
        <v>559</v>
      </c>
      <c r="H51" s="7">
        <f t="shared" si="1"/>
        <v>0</v>
      </c>
      <c r="L51">
        <v>24</v>
      </c>
      <c r="O51" s="7"/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13" customWidth="1"/>
    <col min="2" max="2" width="9" customWidth="1"/>
    <col min="3" max="3" width="11" customWidth="1"/>
    <col min="4" max="4" width="15" customWidth="1"/>
    <col min="5" max="5" width="18" customWidth="1"/>
    <col min="6" max="6" width="6" customWidth="1"/>
    <col min="7" max="7" width="5" customWidth="1"/>
    <col min="8" max="8" width="12" customWidth="1"/>
    <col min="9" max="9" width="8" customWidth="1"/>
    <col min="10" max="10" width="12" customWidth="1"/>
    <col min="11" max="11" width="7" customWidth="1"/>
    <col min="13" max="13" width="12.1640625" bestFit="1" customWidth="1"/>
  </cols>
  <sheetData>
    <row r="1" spans="1:26" x14ac:dyDescent="0.2">
      <c r="A1" s="2" t="s">
        <v>20</v>
      </c>
      <c r="B1" s="2" t="s">
        <v>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t="s">
        <v>30</v>
      </c>
      <c r="M1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2" t="s">
        <v>36</v>
      </c>
      <c r="S1" s="2" t="s">
        <v>37</v>
      </c>
      <c r="T1" s="2" t="s">
        <v>38</v>
      </c>
      <c r="U1" s="2" t="s">
        <v>39</v>
      </c>
      <c r="V1" s="2" t="s">
        <v>40</v>
      </c>
      <c r="W1" s="2" t="s">
        <v>41</v>
      </c>
      <c r="X1" s="2" t="s">
        <v>42</v>
      </c>
      <c r="Y1" t="s">
        <v>43</v>
      </c>
      <c r="Z1" t="s">
        <v>44</v>
      </c>
    </row>
    <row r="2" spans="1:26" x14ac:dyDescent="0.2">
      <c r="A2" s="15">
        <v>46121</v>
      </c>
      <c r="B2" t="s">
        <v>10</v>
      </c>
      <c r="C2">
        <v>85</v>
      </c>
      <c r="D2" t="s">
        <v>230</v>
      </c>
      <c r="E2" t="s">
        <v>231</v>
      </c>
      <c r="F2" t="s">
        <v>232</v>
      </c>
      <c r="G2" t="s">
        <v>233</v>
      </c>
      <c r="H2">
        <f>SUM(N2:Y2)</f>
        <v>0</v>
      </c>
      <c r="J2" t="s">
        <v>234</v>
      </c>
      <c r="L2">
        <v>9</v>
      </c>
      <c r="M2">
        <v>9124876789</v>
      </c>
    </row>
    <row r="3" spans="1:26" x14ac:dyDescent="0.2">
      <c r="A3" s="15">
        <v>46121</v>
      </c>
      <c r="B3" t="s">
        <v>10</v>
      </c>
      <c r="C3">
        <v>85</v>
      </c>
      <c r="D3" t="s">
        <v>235</v>
      </c>
      <c r="H3">
        <f>SUM(N3:Y3)</f>
        <v>0</v>
      </c>
      <c r="L3">
        <v>9</v>
      </c>
      <c r="M3" t="s">
        <v>236</v>
      </c>
    </row>
    <row r="4" spans="1:26" x14ac:dyDescent="0.2">
      <c r="A4" s="15">
        <v>46124</v>
      </c>
      <c r="B4" t="s">
        <v>10</v>
      </c>
      <c r="C4">
        <v>85</v>
      </c>
      <c r="D4" t="s">
        <v>237</v>
      </c>
      <c r="E4" t="s">
        <v>238</v>
      </c>
      <c r="F4" t="s">
        <v>239</v>
      </c>
      <c r="G4" t="s">
        <v>240</v>
      </c>
      <c r="H4">
        <f>SUM(N4:Y4)</f>
        <v>0</v>
      </c>
      <c r="L4">
        <v>12</v>
      </c>
      <c r="M4" t="s">
        <v>241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2"/>
  <sheetViews>
    <sheetView workbookViewId="0">
      <selection activeCell="J17" sqref="J17"/>
    </sheetView>
  </sheetViews>
  <sheetFormatPr baseColWidth="10" defaultColWidth="8.83203125" defaultRowHeight="15" x14ac:dyDescent="0.2"/>
  <cols>
    <col min="1" max="1" width="13" style="5" customWidth="1"/>
    <col min="2" max="2" width="10" customWidth="1"/>
    <col min="3" max="3" width="12" customWidth="1"/>
    <col min="4" max="4" width="20" customWidth="1"/>
    <col min="5" max="5" width="18" customWidth="1"/>
    <col min="6" max="6" width="6" customWidth="1"/>
    <col min="7" max="7" width="5" customWidth="1"/>
    <col min="8" max="8" width="12" customWidth="1"/>
    <col min="9" max="9" width="8" customWidth="1"/>
    <col min="10" max="10" width="10" customWidth="1"/>
    <col min="11" max="11" width="12" customWidth="1"/>
  </cols>
  <sheetData>
    <row r="1" spans="1:26" x14ac:dyDescent="0.2">
      <c r="A1" s="3" t="s">
        <v>20</v>
      </c>
      <c r="B1" s="2" t="s">
        <v>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t="s">
        <v>30</v>
      </c>
      <c r="M1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2" t="s">
        <v>36</v>
      </c>
      <c r="S1" s="2" t="s">
        <v>37</v>
      </c>
      <c r="T1" s="2" t="s">
        <v>38</v>
      </c>
      <c r="U1" s="2" t="s">
        <v>39</v>
      </c>
      <c r="V1" s="2" t="s">
        <v>40</v>
      </c>
      <c r="W1" s="2" t="s">
        <v>41</v>
      </c>
      <c r="X1" s="2" t="s">
        <v>42</v>
      </c>
      <c r="Y1" t="s">
        <v>43</v>
      </c>
      <c r="Z1" t="s">
        <v>44</v>
      </c>
    </row>
    <row r="2" spans="1:26" x14ac:dyDescent="0.2">
      <c r="A2" s="9">
        <v>46120</v>
      </c>
      <c r="B2" t="s">
        <v>12</v>
      </c>
      <c r="C2">
        <v>165</v>
      </c>
      <c r="D2" t="s">
        <v>170</v>
      </c>
      <c r="H2">
        <f t="shared" ref="H2:H12" si="0">SUM(N2:Y2)</f>
        <v>0</v>
      </c>
      <c r="J2" t="s">
        <v>12</v>
      </c>
      <c r="K2" t="s">
        <v>242</v>
      </c>
      <c r="L2">
        <v>8</v>
      </c>
    </row>
    <row r="3" spans="1:26" x14ac:dyDescent="0.2">
      <c r="A3" s="9">
        <v>46120</v>
      </c>
      <c r="B3" t="s">
        <v>12</v>
      </c>
      <c r="C3">
        <v>165</v>
      </c>
      <c r="D3" t="s">
        <v>243</v>
      </c>
      <c r="H3">
        <f t="shared" si="0"/>
        <v>0</v>
      </c>
      <c r="J3" t="s">
        <v>12</v>
      </c>
      <c r="K3" t="s">
        <v>242</v>
      </c>
      <c r="L3">
        <v>8</v>
      </c>
    </row>
    <row r="4" spans="1:26" x14ac:dyDescent="0.2">
      <c r="A4" s="9">
        <v>46120</v>
      </c>
      <c r="B4" t="s">
        <v>12</v>
      </c>
      <c r="C4">
        <v>165</v>
      </c>
      <c r="D4" t="s">
        <v>244</v>
      </c>
      <c r="H4">
        <f t="shared" si="0"/>
        <v>0</v>
      </c>
      <c r="J4" t="s">
        <v>12</v>
      </c>
      <c r="K4" t="s">
        <v>242</v>
      </c>
      <c r="L4">
        <v>8</v>
      </c>
    </row>
    <row r="5" spans="1:26" x14ac:dyDescent="0.2">
      <c r="A5" s="9">
        <v>46120</v>
      </c>
      <c r="B5" t="s">
        <v>12</v>
      </c>
      <c r="C5">
        <v>165</v>
      </c>
      <c r="D5" t="s">
        <v>172</v>
      </c>
      <c r="H5">
        <f t="shared" si="0"/>
        <v>0</v>
      </c>
      <c r="J5" t="s">
        <v>12</v>
      </c>
      <c r="K5" t="s">
        <v>242</v>
      </c>
      <c r="L5">
        <v>8</v>
      </c>
    </row>
    <row r="6" spans="1:26" x14ac:dyDescent="0.2">
      <c r="A6" s="9">
        <v>46120</v>
      </c>
      <c r="B6" t="s">
        <v>12</v>
      </c>
      <c r="C6">
        <v>175</v>
      </c>
      <c r="D6" t="s">
        <v>245</v>
      </c>
      <c r="E6" t="s">
        <v>246</v>
      </c>
      <c r="F6" t="s">
        <v>247</v>
      </c>
      <c r="G6" t="s">
        <v>248</v>
      </c>
      <c r="H6">
        <f t="shared" si="0"/>
        <v>0</v>
      </c>
      <c r="J6" t="s">
        <v>12</v>
      </c>
      <c r="L6">
        <v>8</v>
      </c>
    </row>
    <row r="7" spans="1:26" x14ac:dyDescent="0.2">
      <c r="A7" s="9">
        <v>46121</v>
      </c>
      <c r="B7" t="s">
        <v>12</v>
      </c>
      <c r="C7">
        <v>165</v>
      </c>
      <c r="D7" t="s">
        <v>249</v>
      </c>
      <c r="H7">
        <f t="shared" si="0"/>
        <v>0</v>
      </c>
      <c r="J7" t="s">
        <v>12</v>
      </c>
      <c r="K7" t="s">
        <v>242</v>
      </c>
      <c r="L7">
        <v>9</v>
      </c>
    </row>
    <row r="8" spans="1:26" x14ac:dyDescent="0.2">
      <c r="A8" s="9" t="s">
        <v>250</v>
      </c>
      <c r="B8" t="s">
        <v>12</v>
      </c>
      <c r="C8">
        <v>100</v>
      </c>
      <c r="D8" t="s">
        <v>251</v>
      </c>
      <c r="H8">
        <f t="shared" si="0"/>
        <v>0</v>
      </c>
      <c r="J8" t="s">
        <v>12</v>
      </c>
      <c r="K8" t="s">
        <v>242</v>
      </c>
      <c r="L8">
        <v>24</v>
      </c>
    </row>
    <row r="9" spans="1:26" x14ac:dyDescent="0.2">
      <c r="A9" s="9">
        <v>46114</v>
      </c>
      <c r="B9" t="s">
        <v>12</v>
      </c>
      <c r="C9">
        <v>175</v>
      </c>
      <c r="D9" t="s">
        <v>252</v>
      </c>
      <c r="E9" t="s">
        <v>253</v>
      </c>
      <c r="F9" t="s">
        <v>254</v>
      </c>
      <c r="G9" t="s">
        <v>255</v>
      </c>
      <c r="H9">
        <f t="shared" si="0"/>
        <v>0</v>
      </c>
      <c r="J9" t="s">
        <v>12</v>
      </c>
      <c r="L9">
        <v>2</v>
      </c>
      <c r="M9" s="12" t="s">
        <v>256</v>
      </c>
    </row>
    <row r="10" spans="1:26" x14ac:dyDescent="0.2">
      <c r="H10">
        <f t="shared" si="0"/>
        <v>0</v>
      </c>
      <c r="M10" s="13"/>
    </row>
    <row r="11" spans="1:26" x14ac:dyDescent="0.2">
      <c r="H11">
        <f t="shared" si="0"/>
        <v>0</v>
      </c>
    </row>
    <row r="12" spans="1:26" x14ac:dyDescent="0.2">
      <c r="A12" s="5" t="s">
        <v>257</v>
      </c>
      <c r="H12">
        <f t="shared" si="0"/>
        <v>0</v>
      </c>
    </row>
  </sheetData>
  <hyperlinks>
    <hyperlink ref="M9" r:id="rId1" xr:uid="{00000000-0004-0000-04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55"/>
  <sheetViews>
    <sheetView workbookViewId="0">
      <selection activeCell="A30" sqref="A30"/>
    </sheetView>
  </sheetViews>
  <sheetFormatPr baseColWidth="10" defaultColWidth="8.83203125" defaultRowHeight="15" x14ac:dyDescent="0.2"/>
  <cols>
    <col min="1" max="1" width="13" style="5" customWidth="1"/>
    <col min="2" max="2" width="9" customWidth="1"/>
    <col min="3" max="3" width="13" customWidth="1"/>
    <col min="4" max="4" width="20" customWidth="1"/>
    <col min="5" max="5" width="1.33203125" customWidth="1"/>
    <col min="6" max="6" width="7" customWidth="1"/>
    <col min="7" max="7" width="5" customWidth="1"/>
    <col min="8" max="8" width="12" style="7" customWidth="1"/>
    <col min="9" max="9" width="20" customWidth="1"/>
    <col min="10" max="10" width="13" customWidth="1"/>
    <col min="11" max="11" width="10" customWidth="1"/>
  </cols>
  <sheetData>
    <row r="1" spans="1:26" x14ac:dyDescent="0.2">
      <c r="A1" s="3" t="s">
        <v>20</v>
      </c>
      <c r="B1" s="2" t="s">
        <v>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6" t="s">
        <v>26</v>
      </c>
      <c r="I1" s="2" t="s">
        <v>27</v>
      </c>
      <c r="J1" s="2" t="s">
        <v>28</v>
      </c>
      <c r="K1" s="2" t="s">
        <v>29</v>
      </c>
      <c r="L1" t="s">
        <v>30</v>
      </c>
      <c r="M1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2" t="s">
        <v>36</v>
      </c>
      <c r="S1" s="2" t="s">
        <v>37</v>
      </c>
      <c r="T1" s="2" t="s">
        <v>38</v>
      </c>
      <c r="U1" s="2" t="s">
        <v>39</v>
      </c>
      <c r="V1" s="2" t="s">
        <v>40</v>
      </c>
      <c r="W1" s="2" t="s">
        <v>41</v>
      </c>
      <c r="X1" s="2" t="s">
        <v>42</v>
      </c>
      <c r="Y1" t="s">
        <v>43</v>
      </c>
      <c r="Z1" t="s">
        <v>44</v>
      </c>
    </row>
    <row r="2" spans="1:26" x14ac:dyDescent="0.2">
      <c r="A2" s="9" t="s">
        <v>258</v>
      </c>
      <c r="B2" t="s">
        <v>14</v>
      </c>
      <c r="C2" t="s">
        <v>259</v>
      </c>
      <c r="D2" t="s">
        <v>260</v>
      </c>
      <c r="H2" s="7">
        <f t="shared" ref="H2:H33" si="0">SUM(N2:Y2)</f>
        <v>0</v>
      </c>
      <c r="L2">
        <v>11</v>
      </c>
      <c r="M2" t="s">
        <v>261</v>
      </c>
      <c r="Z2" t="s">
        <v>262</v>
      </c>
    </row>
    <row r="3" spans="1:26" x14ac:dyDescent="0.2">
      <c r="A3" s="9" t="s">
        <v>258</v>
      </c>
      <c r="B3" t="s">
        <v>14</v>
      </c>
      <c r="C3" t="s">
        <v>259</v>
      </c>
      <c r="D3" t="s">
        <v>263</v>
      </c>
      <c r="H3" s="7">
        <f t="shared" si="0"/>
        <v>0</v>
      </c>
      <c r="L3">
        <v>24</v>
      </c>
      <c r="M3" t="s">
        <v>264</v>
      </c>
      <c r="Z3" t="s">
        <v>265</v>
      </c>
    </row>
    <row r="4" spans="1:26" x14ac:dyDescent="0.2">
      <c r="A4" s="9" t="s">
        <v>258</v>
      </c>
      <c r="B4" t="s">
        <v>14</v>
      </c>
      <c r="C4" t="s">
        <v>259</v>
      </c>
      <c r="D4" t="s">
        <v>266</v>
      </c>
      <c r="H4" s="7">
        <f t="shared" si="0"/>
        <v>0</v>
      </c>
      <c r="L4">
        <v>24</v>
      </c>
      <c r="M4" t="s">
        <v>267</v>
      </c>
      <c r="Z4" t="s">
        <v>268</v>
      </c>
    </row>
    <row r="5" spans="1:26" x14ac:dyDescent="0.2">
      <c r="A5" s="9" t="s">
        <v>258</v>
      </c>
      <c r="B5" t="s">
        <v>14</v>
      </c>
      <c r="C5" t="s">
        <v>259</v>
      </c>
      <c r="D5" t="s">
        <v>269</v>
      </c>
      <c r="H5" s="7">
        <f t="shared" si="0"/>
        <v>0</v>
      </c>
      <c r="L5">
        <v>30</v>
      </c>
      <c r="M5" t="s">
        <v>270</v>
      </c>
      <c r="Z5" t="s">
        <v>271</v>
      </c>
    </row>
    <row r="6" spans="1:26" x14ac:dyDescent="0.2">
      <c r="A6" s="9" t="s">
        <v>258</v>
      </c>
      <c r="B6" t="s">
        <v>14</v>
      </c>
      <c r="C6" t="s">
        <v>259</v>
      </c>
      <c r="D6" t="s">
        <v>272</v>
      </c>
      <c r="H6" s="7">
        <f t="shared" si="0"/>
        <v>0</v>
      </c>
      <c r="L6">
        <v>5</v>
      </c>
      <c r="M6" t="s">
        <v>273</v>
      </c>
      <c r="Z6" t="s">
        <v>274</v>
      </c>
    </row>
    <row r="7" spans="1:26" x14ac:dyDescent="0.2">
      <c r="A7" s="9">
        <v>46098</v>
      </c>
      <c r="B7" t="s">
        <v>14</v>
      </c>
      <c r="C7">
        <v>85</v>
      </c>
      <c r="D7" t="s">
        <v>275</v>
      </c>
      <c r="H7" s="7">
        <f t="shared" si="0"/>
        <v>0</v>
      </c>
      <c r="J7" t="s">
        <v>276</v>
      </c>
      <c r="L7">
        <v>17</v>
      </c>
      <c r="M7" t="s">
        <v>277</v>
      </c>
      <c r="Z7" t="s">
        <v>278</v>
      </c>
    </row>
    <row r="8" spans="1:26" x14ac:dyDescent="0.2">
      <c r="A8" s="9">
        <v>46101</v>
      </c>
      <c r="B8" t="s">
        <v>14</v>
      </c>
      <c r="C8">
        <v>85</v>
      </c>
      <c r="D8" t="s">
        <v>279</v>
      </c>
      <c r="E8" t="s">
        <v>280</v>
      </c>
      <c r="F8" t="s">
        <v>103</v>
      </c>
      <c r="G8" t="s">
        <v>181</v>
      </c>
      <c r="H8" s="7">
        <f t="shared" si="0"/>
        <v>85</v>
      </c>
      <c r="J8" t="s">
        <v>281</v>
      </c>
      <c r="L8">
        <v>20</v>
      </c>
      <c r="M8" t="s">
        <v>282</v>
      </c>
      <c r="O8">
        <v>85</v>
      </c>
      <c r="Z8" t="s">
        <v>283</v>
      </c>
    </row>
    <row r="9" spans="1:26" x14ac:dyDescent="0.2">
      <c r="A9" s="9">
        <v>46105</v>
      </c>
      <c r="B9" t="s">
        <v>14</v>
      </c>
      <c r="C9">
        <v>85</v>
      </c>
      <c r="D9" t="s">
        <v>284</v>
      </c>
      <c r="H9" s="7">
        <f t="shared" si="0"/>
        <v>0</v>
      </c>
      <c r="L9">
        <v>24</v>
      </c>
      <c r="M9" t="s">
        <v>285</v>
      </c>
      <c r="Z9" t="s">
        <v>286</v>
      </c>
    </row>
    <row r="10" spans="1:26" x14ac:dyDescent="0.2">
      <c r="A10" s="9">
        <v>46109</v>
      </c>
      <c r="B10" t="s">
        <v>14</v>
      </c>
      <c r="C10">
        <v>85</v>
      </c>
      <c r="D10" t="s">
        <v>287</v>
      </c>
      <c r="E10" t="s">
        <v>288</v>
      </c>
      <c r="F10" t="s">
        <v>289</v>
      </c>
      <c r="G10" t="s">
        <v>290</v>
      </c>
      <c r="H10" s="7">
        <f t="shared" si="0"/>
        <v>340</v>
      </c>
      <c r="L10">
        <v>28</v>
      </c>
      <c r="M10" t="s">
        <v>291</v>
      </c>
      <c r="N10">
        <v>255</v>
      </c>
      <c r="O10">
        <v>85</v>
      </c>
      <c r="Z10" t="s">
        <v>292</v>
      </c>
    </row>
    <row r="11" spans="1:26" x14ac:dyDescent="0.2">
      <c r="A11" s="9">
        <v>46115</v>
      </c>
      <c r="B11" t="s">
        <v>14</v>
      </c>
      <c r="C11">
        <v>85</v>
      </c>
      <c r="D11" t="s">
        <v>293</v>
      </c>
      <c r="H11" s="7">
        <f t="shared" si="0"/>
        <v>0</v>
      </c>
      <c r="L11">
        <v>3</v>
      </c>
      <c r="M11" t="s">
        <v>294</v>
      </c>
      <c r="Z11" t="s">
        <v>295</v>
      </c>
    </row>
    <row r="12" spans="1:26" x14ac:dyDescent="0.2">
      <c r="A12" s="9">
        <v>46115</v>
      </c>
      <c r="B12" t="s">
        <v>14</v>
      </c>
      <c r="C12">
        <v>85</v>
      </c>
      <c r="D12" t="s">
        <v>296</v>
      </c>
      <c r="H12" s="7">
        <f t="shared" si="0"/>
        <v>85</v>
      </c>
      <c r="J12" t="s">
        <v>297</v>
      </c>
      <c r="L12">
        <v>3</v>
      </c>
      <c r="M12" t="s">
        <v>298</v>
      </c>
      <c r="P12">
        <v>85</v>
      </c>
      <c r="Z12" t="s">
        <v>299</v>
      </c>
    </row>
    <row r="13" spans="1:26" x14ac:dyDescent="0.2">
      <c r="A13" s="9">
        <v>46119</v>
      </c>
      <c r="B13" t="s">
        <v>14</v>
      </c>
      <c r="C13">
        <v>85</v>
      </c>
      <c r="D13" t="s">
        <v>300</v>
      </c>
      <c r="E13" t="s">
        <v>301</v>
      </c>
      <c r="F13" s="14" t="s">
        <v>302</v>
      </c>
      <c r="G13" t="s">
        <v>303</v>
      </c>
      <c r="H13" s="7">
        <f t="shared" si="0"/>
        <v>0</v>
      </c>
      <c r="I13" s="5"/>
      <c r="J13" t="s">
        <v>304</v>
      </c>
      <c r="L13">
        <v>3</v>
      </c>
      <c r="M13" t="s">
        <v>305</v>
      </c>
      <c r="Z13">
        <v>9124701731</v>
      </c>
    </row>
    <row r="14" spans="1:26" x14ac:dyDescent="0.2">
      <c r="A14" s="9">
        <v>46118</v>
      </c>
      <c r="B14" t="s">
        <v>14</v>
      </c>
      <c r="C14">
        <v>50</v>
      </c>
      <c r="D14" t="s">
        <v>306</v>
      </c>
      <c r="H14" s="7">
        <f t="shared" si="0"/>
        <v>50</v>
      </c>
      <c r="L14">
        <v>6</v>
      </c>
      <c r="M14" t="s">
        <v>307</v>
      </c>
      <c r="P14">
        <v>50</v>
      </c>
      <c r="Z14" t="s">
        <v>308</v>
      </c>
    </row>
    <row r="15" spans="1:26" x14ac:dyDescent="0.2">
      <c r="A15" s="9">
        <v>46118</v>
      </c>
      <c r="B15" t="s">
        <v>14</v>
      </c>
      <c r="C15">
        <v>85</v>
      </c>
      <c r="D15" t="s">
        <v>309</v>
      </c>
      <c r="E15" t="s">
        <v>310</v>
      </c>
      <c r="F15" t="s">
        <v>311</v>
      </c>
      <c r="G15" t="s">
        <v>312</v>
      </c>
      <c r="H15" s="7">
        <f t="shared" si="0"/>
        <v>76.900000000000006</v>
      </c>
      <c r="L15">
        <v>6</v>
      </c>
      <c r="M15" t="s">
        <v>313</v>
      </c>
      <c r="O15">
        <v>76.900000000000006</v>
      </c>
      <c r="Z15" t="s">
        <v>314</v>
      </c>
    </row>
    <row r="16" spans="1:26" x14ac:dyDescent="0.2">
      <c r="A16" s="9">
        <v>46120</v>
      </c>
      <c r="B16" t="s">
        <v>14</v>
      </c>
      <c r="C16">
        <v>85</v>
      </c>
      <c r="D16" t="s">
        <v>315</v>
      </c>
      <c r="H16" s="7">
        <f t="shared" si="0"/>
        <v>0</v>
      </c>
      <c r="L16">
        <v>8</v>
      </c>
      <c r="M16" t="s">
        <v>316</v>
      </c>
      <c r="Z16" t="s">
        <v>317</v>
      </c>
    </row>
    <row r="17" spans="1:26" x14ac:dyDescent="0.2">
      <c r="A17" s="9">
        <v>46121</v>
      </c>
      <c r="B17" t="s">
        <v>14</v>
      </c>
      <c r="C17">
        <v>85</v>
      </c>
      <c r="D17" t="s">
        <v>318</v>
      </c>
      <c r="E17" t="s">
        <v>319</v>
      </c>
      <c r="F17" t="s">
        <v>320</v>
      </c>
      <c r="G17" t="s">
        <v>321</v>
      </c>
      <c r="H17" s="7">
        <f t="shared" si="0"/>
        <v>0</v>
      </c>
      <c r="J17" t="s">
        <v>322</v>
      </c>
      <c r="L17">
        <v>9</v>
      </c>
      <c r="M17" t="s">
        <v>323</v>
      </c>
      <c r="Z17" t="s">
        <v>324</v>
      </c>
    </row>
    <row r="18" spans="1:26" x14ac:dyDescent="0.2">
      <c r="A18" s="9">
        <v>46121</v>
      </c>
      <c r="B18" t="s">
        <v>14</v>
      </c>
      <c r="C18">
        <v>85</v>
      </c>
      <c r="D18" t="s">
        <v>325</v>
      </c>
      <c r="H18" s="7">
        <f t="shared" si="0"/>
        <v>0</v>
      </c>
      <c r="L18">
        <v>9</v>
      </c>
      <c r="M18" t="s">
        <v>326</v>
      </c>
      <c r="Z18" t="s">
        <v>327</v>
      </c>
    </row>
    <row r="19" spans="1:26" x14ac:dyDescent="0.2">
      <c r="A19" s="9">
        <v>46121</v>
      </c>
      <c r="B19" t="s">
        <v>14</v>
      </c>
      <c r="C19">
        <v>85</v>
      </c>
      <c r="D19" t="s">
        <v>325</v>
      </c>
      <c r="H19" s="7">
        <f t="shared" si="0"/>
        <v>0</v>
      </c>
      <c r="L19">
        <v>9</v>
      </c>
      <c r="M19" t="s">
        <v>328</v>
      </c>
      <c r="Z19" t="s">
        <v>329</v>
      </c>
    </row>
    <row r="20" spans="1:26" x14ac:dyDescent="0.2">
      <c r="A20" s="9">
        <v>46121</v>
      </c>
      <c r="B20" t="s">
        <v>14</v>
      </c>
      <c r="C20">
        <v>85</v>
      </c>
      <c r="D20" t="s">
        <v>169</v>
      </c>
      <c r="H20" s="7">
        <f t="shared" si="0"/>
        <v>85</v>
      </c>
      <c r="L20">
        <v>9</v>
      </c>
      <c r="M20" t="s">
        <v>330</v>
      </c>
      <c r="O20">
        <v>85</v>
      </c>
      <c r="Z20" t="s">
        <v>331</v>
      </c>
    </row>
    <row r="21" spans="1:26" x14ac:dyDescent="0.2">
      <c r="A21" s="9">
        <v>46121</v>
      </c>
      <c r="B21" t="s">
        <v>14</v>
      </c>
      <c r="C21">
        <v>85</v>
      </c>
      <c r="D21" t="s">
        <v>169</v>
      </c>
      <c r="H21" s="7">
        <f t="shared" si="0"/>
        <v>0</v>
      </c>
      <c r="J21" t="s">
        <v>332</v>
      </c>
      <c r="L21">
        <v>9</v>
      </c>
      <c r="M21" t="s">
        <v>333</v>
      </c>
      <c r="Z21" t="s">
        <v>334</v>
      </c>
    </row>
    <row r="22" spans="1:26" x14ac:dyDescent="0.2">
      <c r="A22" s="9">
        <v>46122</v>
      </c>
      <c r="B22" t="s">
        <v>14</v>
      </c>
      <c r="C22">
        <v>85</v>
      </c>
      <c r="D22" t="s">
        <v>335</v>
      </c>
      <c r="H22" s="7">
        <f t="shared" si="0"/>
        <v>85</v>
      </c>
      <c r="J22" t="s">
        <v>336</v>
      </c>
      <c r="L22">
        <v>10</v>
      </c>
      <c r="M22" t="s">
        <v>337</v>
      </c>
      <c r="P22">
        <v>85</v>
      </c>
      <c r="Z22" t="s">
        <v>338</v>
      </c>
    </row>
    <row r="23" spans="1:26" x14ac:dyDescent="0.2">
      <c r="A23" s="9">
        <v>46122</v>
      </c>
      <c r="B23" t="s">
        <v>14</v>
      </c>
      <c r="C23">
        <v>85</v>
      </c>
      <c r="D23" t="s">
        <v>339</v>
      </c>
      <c r="E23" t="s">
        <v>340</v>
      </c>
      <c r="F23" t="s">
        <v>214</v>
      </c>
      <c r="G23" t="s">
        <v>341</v>
      </c>
      <c r="H23" s="7">
        <f t="shared" si="0"/>
        <v>0</v>
      </c>
      <c r="J23" t="s">
        <v>342</v>
      </c>
      <c r="L23">
        <v>10</v>
      </c>
      <c r="M23" t="s">
        <v>343</v>
      </c>
      <c r="Z23" t="s">
        <v>344</v>
      </c>
    </row>
    <row r="24" spans="1:26" x14ac:dyDescent="0.2">
      <c r="A24" s="9">
        <v>46123</v>
      </c>
      <c r="B24" t="s">
        <v>14</v>
      </c>
      <c r="C24">
        <v>85</v>
      </c>
      <c r="D24" t="s">
        <v>345</v>
      </c>
      <c r="E24" t="s">
        <v>346</v>
      </c>
      <c r="F24" t="s">
        <v>320</v>
      </c>
      <c r="G24" t="s">
        <v>347</v>
      </c>
      <c r="H24" s="7">
        <f t="shared" si="0"/>
        <v>0</v>
      </c>
      <c r="J24" t="s">
        <v>348</v>
      </c>
      <c r="L24">
        <v>11</v>
      </c>
      <c r="M24" t="s">
        <v>349</v>
      </c>
      <c r="Z24" t="s">
        <v>350</v>
      </c>
    </row>
    <row r="25" spans="1:26" x14ac:dyDescent="0.2">
      <c r="A25" s="9">
        <v>46123</v>
      </c>
      <c r="B25" t="s">
        <v>14</v>
      </c>
      <c r="C25">
        <v>85</v>
      </c>
      <c r="D25" t="s">
        <v>351</v>
      </c>
      <c r="E25" t="s">
        <v>352</v>
      </c>
      <c r="F25" t="s">
        <v>353</v>
      </c>
      <c r="G25" t="s">
        <v>354</v>
      </c>
      <c r="H25" s="7">
        <f t="shared" si="0"/>
        <v>0</v>
      </c>
      <c r="J25" t="s">
        <v>355</v>
      </c>
      <c r="L25">
        <v>11</v>
      </c>
      <c r="M25" t="s">
        <v>356</v>
      </c>
      <c r="Z25" t="s">
        <v>357</v>
      </c>
    </row>
    <row r="26" spans="1:26" x14ac:dyDescent="0.2">
      <c r="A26" s="9">
        <v>46123</v>
      </c>
      <c r="B26" t="s">
        <v>14</v>
      </c>
      <c r="C26">
        <v>85</v>
      </c>
      <c r="D26" t="s">
        <v>358</v>
      </c>
      <c r="E26" t="s">
        <v>359</v>
      </c>
      <c r="F26" t="s">
        <v>52</v>
      </c>
      <c r="G26" t="s">
        <v>360</v>
      </c>
      <c r="H26" s="7">
        <f t="shared" si="0"/>
        <v>85</v>
      </c>
      <c r="J26" t="s">
        <v>361</v>
      </c>
      <c r="L26">
        <v>11</v>
      </c>
      <c r="M26" t="s">
        <v>362</v>
      </c>
      <c r="P26">
        <v>85</v>
      </c>
      <c r="Z26" t="s">
        <v>363</v>
      </c>
    </row>
    <row r="27" spans="1:26" x14ac:dyDescent="0.2">
      <c r="A27" s="9">
        <v>46124</v>
      </c>
      <c r="B27" t="s">
        <v>14</v>
      </c>
      <c r="C27">
        <v>85</v>
      </c>
      <c r="D27" t="s">
        <v>184</v>
      </c>
      <c r="H27" s="7">
        <f t="shared" si="0"/>
        <v>0</v>
      </c>
      <c r="L27">
        <v>11</v>
      </c>
      <c r="M27" t="s">
        <v>364</v>
      </c>
      <c r="Z27" t="s">
        <v>365</v>
      </c>
    </row>
    <row r="28" spans="1:26" x14ac:dyDescent="0.2">
      <c r="A28" s="9">
        <v>46125</v>
      </c>
      <c r="B28" t="s">
        <v>14</v>
      </c>
      <c r="C28">
        <v>85</v>
      </c>
      <c r="D28" t="s">
        <v>366</v>
      </c>
      <c r="H28" s="7">
        <f t="shared" si="0"/>
        <v>85</v>
      </c>
      <c r="J28" t="s">
        <v>367</v>
      </c>
      <c r="L28">
        <v>13</v>
      </c>
      <c r="M28" t="s">
        <v>368</v>
      </c>
      <c r="P28">
        <v>85</v>
      </c>
      <c r="Z28" t="s">
        <v>369</v>
      </c>
    </row>
    <row r="29" spans="1:26" x14ac:dyDescent="0.2">
      <c r="A29" s="9">
        <v>46125</v>
      </c>
      <c r="B29" t="s">
        <v>14</v>
      </c>
      <c r="C29">
        <v>85</v>
      </c>
      <c r="D29" t="s">
        <v>370</v>
      </c>
      <c r="E29" t="s">
        <v>371</v>
      </c>
      <c r="F29" t="s">
        <v>206</v>
      </c>
      <c r="G29" t="s">
        <v>372</v>
      </c>
      <c r="H29" s="7">
        <f t="shared" si="0"/>
        <v>0</v>
      </c>
      <c r="J29" t="s">
        <v>373</v>
      </c>
      <c r="L29">
        <v>13</v>
      </c>
      <c r="M29" t="s">
        <v>368</v>
      </c>
      <c r="Z29" t="s">
        <v>374</v>
      </c>
    </row>
    <row r="30" spans="1:26" x14ac:dyDescent="0.2">
      <c r="A30" s="9">
        <v>46095</v>
      </c>
      <c r="B30" t="s">
        <v>14</v>
      </c>
      <c r="C30">
        <v>85</v>
      </c>
      <c r="D30" t="s">
        <v>375</v>
      </c>
      <c r="E30" t="s">
        <v>376</v>
      </c>
      <c r="F30" t="s">
        <v>52</v>
      </c>
      <c r="G30" t="s">
        <v>377</v>
      </c>
      <c r="H30" s="7">
        <f t="shared" si="0"/>
        <v>0</v>
      </c>
      <c r="J30" t="s">
        <v>378</v>
      </c>
      <c r="L30">
        <v>12</v>
      </c>
      <c r="M30" t="s">
        <v>379</v>
      </c>
      <c r="Z30" t="s">
        <v>380</v>
      </c>
    </row>
    <row r="31" spans="1:26" x14ac:dyDescent="0.2">
      <c r="A31" s="9" t="s">
        <v>381</v>
      </c>
      <c r="B31" t="s">
        <v>14</v>
      </c>
      <c r="C31">
        <v>85</v>
      </c>
      <c r="D31" t="s">
        <v>382</v>
      </c>
      <c r="H31" s="7">
        <f t="shared" si="0"/>
        <v>85</v>
      </c>
      <c r="L31">
        <v>16</v>
      </c>
      <c r="M31" t="s">
        <v>383</v>
      </c>
      <c r="P31">
        <v>85</v>
      </c>
      <c r="Z31" t="s">
        <v>384</v>
      </c>
    </row>
    <row r="32" spans="1:26" x14ac:dyDescent="0.2">
      <c r="A32" s="9">
        <v>46098</v>
      </c>
      <c r="B32" t="s">
        <v>14</v>
      </c>
      <c r="C32">
        <v>85</v>
      </c>
      <c r="D32" t="s">
        <v>385</v>
      </c>
      <c r="E32" t="s">
        <v>386</v>
      </c>
      <c r="F32" t="s">
        <v>73</v>
      </c>
      <c r="G32" t="s">
        <v>387</v>
      </c>
      <c r="H32" s="7">
        <f t="shared" si="0"/>
        <v>0</v>
      </c>
      <c r="J32" t="s">
        <v>388</v>
      </c>
      <c r="L32">
        <v>17</v>
      </c>
      <c r="M32" t="s">
        <v>389</v>
      </c>
      <c r="Z32" t="s">
        <v>390</v>
      </c>
    </row>
    <row r="33" spans="1:26" x14ac:dyDescent="0.2">
      <c r="A33" s="9" t="s">
        <v>391</v>
      </c>
      <c r="B33" t="s">
        <v>14</v>
      </c>
      <c r="C33">
        <v>85</v>
      </c>
      <c r="D33" t="s">
        <v>392</v>
      </c>
      <c r="E33" t="s">
        <v>393</v>
      </c>
      <c r="F33" t="s">
        <v>320</v>
      </c>
      <c r="G33" t="s">
        <v>394</v>
      </c>
      <c r="H33" s="7">
        <f t="shared" si="0"/>
        <v>0</v>
      </c>
      <c r="L33">
        <v>19</v>
      </c>
      <c r="M33" t="s">
        <v>395</v>
      </c>
      <c r="Z33" t="s">
        <v>396</v>
      </c>
    </row>
    <row r="34" spans="1:26" x14ac:dyDescent="0.2">
      <c r="A34" s="9" t="s">
        <v>397</v>
      </c>
      <c r="B34" t="s">
        <v>14</v>
      </c>
      <c r="C34">
        <v>85</v>
      </c>
      <c r="D34" t="s">
        <v>398</v>
      </c>
      <c r="E34" t="s">
        <v>399</v>
      </c>
      <c r="F34" t="s">
        <v>400</v>
      </c>
      <c r="G34" t="s">
        <v>401</v>
      </c>
      <c r="H34" s="7">
        <f t="shared" ref="H34:H55" si="1">SUM(N34:Y34)</f>
        <v>0</v>
      </c>
      <c r="J34" t="s">
        <v>402</v>
      </c>
      <c r="L34">
        <v>21</v>
      </c>
      <c r="M34" t="s">
        <v>395</v>
      </c>
      <c r="Z34" t="s">
        <v>403</v>
      </c>
    </row>
    <row r="35" spans="1:26" x14ac:dyDescent="0.2">
      <c r="A35" s="9" t="s">
        <v>397</v>
      </c>
      <c r="B35" t="s">
        <v>14</v>
      </c>
      <c r="C35">
        <v>85</v>
      </c>
      <c r="D35" t="s">
        <v>404</v>
      </c>
      <c r="E35" t="s">
        <v>405</v>
      </c>
      <c r="F35" t="s">
        <v>61</v>
      </c>
      <c r="G35" t="s">
        <v>406</v>
      </c>
      <c r="H35" s="7">
        <f t="shared" si="1"/>
        <v>0</v>
      </c>
      <c r="J35" t="s">
        <v>407</v>
      </c>
      <c r="L35">
        <v>21</v>
      </c>
      <c r="M35" t="s">
        <v>408</v>
      </c>
      <c r="Z35" t="s">
        <v>409</v>
      </c>
    </row>
    <row r="36" spans="1:26" x14ac:dyDescent="0.2">
      <c r="A36" s="9" t="s">
        <v>410</v>
      </c>
      <c r="B36" t="s">
        <v>14</v>
      </c>
      <c r="C36">
        <v>85</v>
      </c>
      <c r="D36" t="s">
        <v>411</v>
      </c>
      <c r="E36" t="s">
        <v>412</v>
      </c>
      <c r="H36" s="7">
        <f t="shared" si="1"/>
        <v>0</v>
      </c>
      <c r="L36">
        <v>22</v>
      </c>
      <c r="M36" t="s">
        <v>413</v>
      </c>
      <c r="Z36" t="s">
        <v>414</v>
      </c>
    </row>
    <row r="37" spans="1:26" x14ac:dyDescent="0.2">
      <c r="A37" s="9" t="s">
        <v>410</v>
      </c>
      <c r="B37" t="s">
        <v>14</v>
      </c>
      <c r="C37">
        <v>85</v>
      </c>
      <c r="D37" t="s">
        <v>415</v>
      </c>
      <c r="H37" s="7">
        <f t="shared" si="1"/>
        <v>0</v>
      </c>
      <c r="J37" t="s">
        <v>416</v>
      </c>
      <c r="L37">
        <v>22</v>
      </c>
      <c r="M37" t="s">
        <v>417</v>
      </c>
      <c r="Z37" t="s">
        <v>418</v>
      </c>
    </row>
    <row r="38" spans="1:26" x14ac:dyDescent="0.2">
      <c r="A38" s="9" t="s">
        <v>419</v>
      </c>
      <c r="B38" t="s">
        <v>14</v>
      </c>
      <c r="C38">
        <v>85</v>
      </c>
      <c r="D38" t="s">
        <v>420</v>
      </c>
      <c r="E38" t="s">
        <v>421</v>
      </c>
      <c r="F38" t="s">
        <v>320</v>
      </c>
      <c r="G38" t="s">
        <v>422</v>
      </c>
      <c r="H38" s="7">
        <f t="shared" si="1"/>
        <v>0</v>
      </c>
      <c r="J38" t="s">
        <v>423</v>
      </c>
      <c r="L38">
        <v>23</v>
      </c>
      <c r="M38" t="s">
        <v>424</v>
      </c>
      <c r="Z38" t="s">
        <v>425</v>
      </c>
    </row>
    <row r="39" spans="1:26" x14ac:dyDescent="0.2">
      <c r="A39" s="9">
        <v>46105</v>
      </c>
      <c r="B39" t="s">
        <v>14</v>
      </c>
      <c r="C39">
        <v>85</v>
      </c>
      <c r="D39" t="s">
        <v>426</v>
      </c>
      <c r="E39" t="s">
        <v>427</v>
      </c>
      <c r="F39" t="s">
        <v>428</v>
      </c>
      <c r="H39" s="7">
        <f t="shared" si="1"/>
        <v>85</v>
      </c>
      <c r="J39" t="s">
        <v>429</v>
      </c>
      <c r="L39">
        <v>24</v>
      </c>
      <c r="M39" t="s">
        <v>430</v>
      </c>
      <c r="O39">
        <v>85</v>
      </c>
      <c r="Z39" t="s">
        <v>431</v>
      </c>
    </row>
    <row r="40" spans="1:26" x14ac:dyDescent="0.2">
      <c r="A40" s="9" t="s">
        <v>432</v>
      </c>
      <c r="B40" t="s">
        <v>14</v>
      </c>
      <c r="C40">
        <v>85</v>
      </c>
      <c r="D40" t="s">
        <v>339</v>
      </c>
      <c r="E40" t="s">
        <v>340</v>
      </c>
      <c r="F40" t="s">
        <v>214</v>
      </c>
      <c r="G40" t="s">
        <v>341</v>
      </c>
      <c r="H40" s="7">
        <f t="shared" si="1"/>
        <v>0</v>
      </c>
      <c r="J40" t="s">
        <v>342</v>
      </c>
      <c r="L40">
        <v>28</v>
      </c>
      <c r="M40" t="s">
        <v>433</v>
      </c>
      <c r="Z40" t="s">
        <v>434</v>
      </c>
    </row>
    <row r="41" spans="1:26" x14ac:dyDescent="0.2">
      <c r="A41" s="9" t="s">
        <v>432</v>
      </c>
      <c r="B41" t="s">
        <v>14</v>
      </c>
      <c r="C41">
        <v>85</v>
      </c>
      <c r="D41" t="s">
        <v>435</v>
      </c>
      <c r="E41" t="s">
        <v>436</v>
      </c>
      <c r="F41" t="s">
        <v>73</v>
      </c>
      <c r="G41" t="s">
        <v>437</v>
      </c>
      <c r="H41" s="7">
        <f t="shared" si="1"/>
        <v>0</v>
      </c>
      <c r="J41" t="s">
        <v>438</v>
      </c>
      <c r="L41">
        <v>28</v>
      </c>
      <c r="M41" t="s">
        <v>439</v>
      </c>
      <c r="Z41" t="s">
        <v>440</v>
      </c>
    </row>
    <row r="42" spans="1:26" x14ac:dyDescent="0.2">
      <c r="A42" s="9">
        <v>46109</v>
      </c>
      <c r="B42" t="s">
        <v>14</v>
      </c>
      <c r="C42">
        <v>85</v>
      </c>
      <c r="D42" t="s">
        <v>441</v>
      </c>
      <c r="H42" s="7">
        <f t="shared" si="1"/>
        <v>0</v>
      </c>
      <c r="L42">
        <v>28</v>
      </c>
      <c r="M42" t="s">
        <v>442</v>
      </c>
      <c r="Z42" t="s">
        <v>443</v>
      </c>
    </row>
    <row r="43" spans="1:26" x14ac:dyDescent="0.2">
      <c r="A43" s="9" t="s">
        <v>432</v>
      </c>
      <c r="B43" t="s">
        <v>14</v>
      </c>
      <c r="C43">
        <v>85</v>
      </c>
      <c r="D43" t="s">
        <v>444</v>
      </c>
      <c r="E43" t="s">
        <v>445</v>
      </c>
      <c r="F43" t="s">
        <v>320</v>
      </c>
      <c r="G43" t="s">
        <v>446</v>
      </c>
      <c r="H43" s="7">
        <f t="shared" si="1"/>
        <v>0</v>
      </c>
      <c r="J43" t="s">
        <v>447</v>
      </c>
      <c r="L43">
        <v>28</v>
      </c>
      <c r="M43" t="s">
        <v>448</v>
      </c>
      <c r="Z43" t="s">
        <v>449</v>
      </c>
    </row>
    <row r="44" spans="1:26" x14ac:dyDescent="0.2">
      <c r="A44" s="9">
        <v>46113</v>
      </c>
      <c r="B44" t="s">
        <v>14</v>
      </c>
      <c r="C44">
        <v>85</v>
      </c>
      <c r="D44" t="s">
        <v>450</v>
      </c>
      <c r="E44" t="s">
        <v>451</v>
      </c>
      <c r="F44" t="s">
        <v>166</v>
      </c>
      <c r="G44" t="s">
        <v>452</v>
      </c>
      <c r="H44" s="7">
        <f t="shared" si="1"/>
        <v>0</v>
      </c>
      <c r="J44" t="s">
        <v>453</v>
      </c>
      <c r="L44">
        <v>1</v>
      </c>
      <c r="M44" s="11" t="s">
        <v>454</v>
      </c>
      <c r="Z44" t="s">
        <v>455</v>
      </c>
    </row>
    <row r="45" spans="1:26" x14ac:dyDescent="0.2">
      <c r="A45" s="9">
        <v>46113</v>
      </c>
      <c r="B45" t="s">
        <v>14</v>
      </c>
      <c r="C45">
        <v>85</v>
      </c>
      <c r="D45" t="s">
        <v>456</v>
      </c>
      <c r="E45" t="s">
        <v>457</v>
      </c>
      <c r="F45" t="s">
        <v>458</v>
      </c>
      <c r="G45" t="s">
        <v>459</v>
      </c>
      <c r="H45" s="7">
        <f t="shared" si="1"/>
        <v>0</v>
      </c>
      <c r="L45">
        <v>1</v>
      </c>
      <c r="M45" t="s">
        <v>460</v>
      </c>
      <c r="Z45" t="s">
        <v>461</v>
      </c>
    </row>
    <row r="46" spans="1:26" x14ac:dyDescent="0.2">
      <c r="A46" s="9">
        <v>46113</v>
      </c>
      <c r="B46" t="s">
        <v>14</v>
      </c>
      <c r="C46">
        <v>85</v>
      </c>
      <c r="D46" t="s">
        <v>462</v>
      </c>
      <c r="H46" s="7">
        <f t="shared" si="1"/>
        <v>0</v>
      </c>
      <c r="L46">
        <v>1</v>
      </c>
      <c r="M46" t="s">
        <v>463</v>
      </c>
      <c r="Z46" t="s">
        <v>464</v>
      </c>
    </row>
    <row r="47" spans="1:26" x14ac:dyDescent="0.2">
      <c r="A47" s="9">
        <v>46113</v>
      </c>
      <c r="B47" t="s">
        <v>14</v>
      </c>
      <c r="C47">
        <v>85</v>
      </c>
      <c r="D47" t="s">
        <v>465</v>
      </c>
      <c r="E47" t="s">
        <v>466</v>
      </c>
      <c r="F47" t="s">
        <v>467</v>
      </c>
      <c r="G47" t="s">
        <v>468</v>
      </c>
      <c r="H47" s="7">
        <f t="shared" si="1"/>
        <v>0</v>
      </c>
      <c r="J47" t="s">
        <v>469</v>
      </c>
      <c r="L47">
        <v>1</v>
      </c>
      <c r="M47" t="s">
        <v>470</v>
      </c>
      <c r="Z47" t="s">
        <v>471</v>
      </c>
    </row>
    <row r="48" spans="1:26" x14ac:dyDescent="0.2">
      <c r="A48" s="9">
        <v>46113</v>
      </c>
      <c r="B48" t="s">
        <v>14</v>
      </c>
      <c r="C48">
        <v>85</v>
      </c>
      <c r="D48" t="s">
        <v>472</v>
      </c>
      <c r="E48" t="s">
        <v>473</v>
      </c>
      <c r="F48" t="s">
        <v>320</v>
      </c>
      <c r="G48" t="s">
        <v>474</v>
      </c>
      <c r="H48" s="7">
        <f t="shared" si="1"/>
        <v>0</v>
      </c>
      <c r="J48" t="s">
        <v>475</v>
      </c>
      <c r="L48">
        <v>1</v>
      </c>
      <c r="M48" t="s">
        <v>476</v>
      </c>
      <c r="Z48" t="s">
        <v>477</v>
      </c>
    </row>
    <row r="49" spans="1:26" x14ac:dyDescent="0.2">
      <c r="A49" s="9">
        <v>46113</v>
      </c>
      <c r="B49" t="s">
        <v>14</v>
      </c>
      <c r="C49">
        <v>85</v>
      </c>
      <c r="D49" t="s">
        <v>478</v>
      </c>
      <c r="E49" t="s">
        <v>479</v>
      </c>
      <c r="F49" t="s">
        <v>480</v>
      </c>
      <c r="G49" t="s">
        <v>481</v>
      </c>
      <c r="H49" s="7">
        <f t="shared" si="1"/>
        <v>0</v>
      </c>
      <c r="J49" t="s">
        <v>482</v>
      </c>
      <c r="L49">
        <v>1</v>
      </c>
      <c r="M49" t="s">
        <v>483</v>
      </c>
      <c r="Z49" t="s">
        <v>484</v>
      </c>
    </row>
    <row r="50" spans="1:26" x14ac:dyDescent="0.2">
      <c r="A50" s="9">
        <v>46117</v>
      </c>
      <c r="B50" t="s">
        <v>14</v>
      </c>
      <c r="C50">
        <v>85</v>
      </c>
      <c r="D50" t="s">
        <v>485</v>
      </c>
      <c r="E50" t="s">
        <v>486</v>
      </c>
      <c r="F50" t="s">
        <v>400</v>
      </c>
      <c r="G50" t="s">
        <v>487</v>
      </c>
      <c r="H50" s="7">
        <f t="shared" si="1"/>
        <v>0</v>
      </c>
      <c r="L50">
        <v>5</v>
      </c>
      <c r="M50" t="s">
        <v>488</v>
      </c>
      <c r="Z50" t="s">
        <v>489</v>
      </c>
    </row>
    <row r="51" spans="1:26" x14ac:dyDescent="0.2">
      <c r="A51" s="9">
        <v>46117</v>
      </c>
      <c r="B51" t="s">
        <v>14</v>
      </c>
      <c r="C51">
        <v>85</v>
      </c>
      <c r="D51" t="s">
        <v>490</v>
      </c>
      <c r="E51" t="s">
        <v>427</v>
      </c>
      <c r="F51" t="s">
        <v>428</v>
      </c>
      <c r="H51" s="7">
        <f t="shared" si="1"/>
        <v>0</v>
      </c>
      <c r="J51" t="s">
        <v>491</v>
      </c>
      <c r="L51">
        <v>5</v>
      </c>
      <c r="M51" t="s">
        <v>492</v>
      </c>
      <c r="Z51" t="s">
        <v>493</v>
      </c>
    </row>
    <row r="52" spans="1:26" x14ac:dyDescent="0.2">
      <c r="A52" s="9">
        <v>46119</v>
      </c>
      <c r="B52" t="s">
        <v>14</v>
      </c>
      <c r="C52">
        <v>85</v>
      </c>
      <c r="D52" t="s">
        <v>106</v>
      </c>
      <c r="E52" t="s">
        <v>494</v>
      </c>
      <c r="F52" t="s">
        <v>495</v>
      </c>
      <c r="G52" t="s">
        <v>496</v>
      </c>
      <c r="H52" s="7">
        <f t="shared" si="1"/>
        <v>0</v>
      </c>
      <c r="J52" t="s">
        <v>497</v>
      </c>
      <c r="L52">
        <v>7</v>
      </c>
      <c r="M52" t="s">
        <v>498</v>
      </c>
      <c r="Z52" t="s">
        <v>499</v>
      </c>
    </row>
    <row r="53" spans="1:26" x14ac:dyDescent="0.2">
      <c r="A53" s="9">
        <v>46119</v>
      </c>
      <c r="B53" t="s">
        <v>14</v>
      </c>
      <c r="C53">
        <v>85</v>
      </c>
      <c r="D53" t="s">
        <v>500</v>
      </c>
      <c r="E53" t="s">
        <v>501</v>
      </c>
      <c r="F53" t="s">
        <v>502</v>
      </c>
      <c r="G53" t="s">
        <v>503</v>
      </c>
      <c r="H53" s="7">
        <f t="shared" si="1"/>
        <v>0</v>
      </c>
      <c r="J53" t="s">
        <v>504</v>
      </c>
      <c r="L53">
        <v>7</v>
      </c>
      <c r="M53" t="s">
        <v>505</v>
      </c>
      <c r="Z53" t="s">
        <v>506</v>
      </c>
    </row>
    <row r="54" spans="1:26" x14ac:dyDescent="0.2">
      <c r="A54" s="9">
        <v>46130</v>
      </c>
      <c r="B54" t="s">
        <v>14</v>
      </c>
      <c r="C54">
        <v>85</v>
      </c>
      <c r="D54" t="s">
        <v>507</v>
      </c>
      <c r="E54" t="s">
        <v>508</v>
      </c>
      <c r="F54" t="s">
        <v>48</v>
      </c>
      <c r="G54" t="s">
        <v>509</v>
      </c>
      <c r="H54" s="7">
        <f t="shared" si="1"/>
        <v>0</v>
      </c>
      <c r="J54" t="s">
        <v>469</v>
      </c>
      <c r="L54">
        <v>18</v>
      </c>
      <c r="M54" t="s">
        <v>510</v>
      </c>
      <c r="Z54" t="s">
        <v>511</v>
      </c>
    </row>
    <row r="55" spans="1:26" x14ac:dyDescent="0.2">
      <c r="A55" s="9">
        <v>46160</v>
      </c>
      <c r="B55" t="s">
        <v>14</v>
      </c>
      <c r="C55">
        <v>85</v>
      </c>
      <c r="D55" t="s">
        <v>512</v>
      </c>
      <c r="H55" s="7">
        <f t="shared" si="1"/>
        <v>0</v>
      </c>
      <c r="I55" s="12" t="s">
        <v>513</v>
      </c>
      <c r="L55">
        <v>18</v>
      </c>
      <c r="M55" t="s">
        <v>514</v>
      </c>
      <c r="Z55" t="s">
        <v>515</v>
      </c>
    </row>
  </sheetData>
  <hyperlinks>
    <hyperlink ref="I55" r:id="rId1" xr:uid="{00000000-0004-0000-05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9"/>
  <sheetViews>
    <sheetView workbookViewId="0">
      <selection activeCell="J11" sqref="J11"/>
    </sheetView>
  </sheetViews>
  <sheetFormatPr baseColWidth="10" defaultColWidth="8.83203125" defaultRowHeight="15" x14ac:dyDescent="0.2"/>
  <cols>
    <col min="1" max="1" width="13" style="5" customWidth="1"/>
    <col min="2" max="2" width="9" customWidth="1"/>
    <col min="3" max="3" width="16" customWidth="1"/>
    <col min="4" max="5" width="20" customWidth="1"/>
    <col min="6" max="6" width="6" customWidth="1"/>
    <col min="7" max="7" width="5" customWidth="1"/>
    <col min="8" max="8" width="12" style="7" customWidth="1"/>
    <col min="9" max="9" width="17" customWidth="1"/>
    <col min="10" max="10" width="13" customWidth="1"/>
    <col min="11" max="11" width="12" customWidth="1"/>
  </cols>
  <sheetData>
    <row r="1" spans="1:26" x14ac:dyDescent="0.2">
      <c r="A1" s="3" t="s">
        <v>20</v>
      </c>
      <c r="B1" s="2" t="s">
        <v>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6" t="s">
        <v>26</v>
      </c>
      <c r="I1" s="2" t="s">
        <v>27</v>
      </c>
      <c r="J1" s="2" t="s">
        <v>28</v>
      </c>
      <c r="K1" s="2" t="s">
        <v>29</v>
      </c>
      <c r="L1" t="s">
        <v>30</v>
      </c>
      <c r="M1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2" t="s">
        <v>36</v>
      </c>
      <c r="S1" s="2" t="s">
        <v>37</v>
      </c>
      <c r="T1" s="2" t="s">
        <v>38</v>
      </c>
      <c r="U1" s="2" t="s">
        <v>39</v>
      </c>
      <c r="V1" s="2" t="s">
        <v>40</v>
      </c>
      <c r="W1" s="2" t="s">
        <v>41</v>
      </c>
      <c r="X1" s="2" t="s">
        <v>42</v>
      </c>
      <c r="Y1" t="s">
        <v>43</v>
      </c>
      <c r="Z1" t="s">
        <v>44</v>
      </c>
    </row>
    <row r="2" spans="1:26" x14ac:dyDescent="0.2">
      <c r="A2" s="4">
        <v>46116</v>
      </c>
      <c r="B2" t="s">
        <v>16</v>
      </c>
      <c r="C2">
        <v>85</v>
      </c>
      <c r="D2" t="s">
        <v>516</v>
      </c>
      <c r="E2" t="s">
        <v>517</v>
      </c>
      <c r="F2" t="s">
        <v>69</v>
      </c>
      <c r="G2" t="s">
        <v>518</v>
      </c>
      <c r="H2" s="7">
        <f t="shared" ref="H2:H19" si="0">SUM(N2:Y2)</f>
        <v>0</v>
      </c>
      <c r="J2" t="s">
        <v>519</v>
      </c>
      <c r="L2">
        <v>4</v>
      </c>
      <c r="Z2" t="s">
        <v>520</v>
      </c>
    </row>
    <row r="3" spans="1:26" x14ac:dyDescent="0.2">
      <c r="A3" s="4">
        <v>46114</v>
      </c>
      <c r="B3" t="s">
        <v>16</v>
      </c>
      <c r="C3">
        <v>85</v>
      </c>
      <c r="D3" t="s">
        <v>521</v>
      </c>
      <c r="H3" s="7">
        <f t="shared" si="0"/>
        <v>0</v>
      </c>
      <c r="J3" t="s">
        <v>522</v>
      </c>
      <c r="L3">
        <v>6</v>
      </c>
      <c r="Z3" t="s">
        <v>523</v>
      </c>
    </row>
    <row r="4" spans="1:26" x14ac:dyDescent="0.2">
      <c r="A4" s="4">
        <v>46119</v>
      </c>
      <c r="B4" t="s">
        <v>16</v>
      </c>
      <c r="C4">
        <v>85</v>
      </c>
      <c r="D4" t="s">
        <v>524</v>
      </c>
      <c r="E4" t="s">
        <v>525</v>
      </c>
      <c r="F4" t="s">
        <v>180</v>
      </c>
      <c r="G4" t="s">
        <v>526</v>
      </c>
      <c r="H4" s="7">
        <f t="shared" si="0"/>
        <v>0</v>
      </c>
      <c r="J4" t="s">
        <v>527</v>
      </c>
      <c r="L4">
        <v>7</v>
      </c>
      <c r="Z4" t="s">
        <v>528</v>
      </c>
    </row>
    <row r="5" spans="1:26" x14ac:dyDescent="0.2">
      <c r="A5" s="4">
        <v>46120</v>
      </c>
      <c r="B5" t="s">
        <v>16</v>
      </c>
      <c r="C5">
        <v>85</v>
      </c>
      <c r="D5" t="s">
        <v>529</v>
      </c>
      <c r="E5" t="s">
        <v>530</v>
      </c>
      <c r="F5" t="s">
        <v>61</v>
      </c>
      <c r="G5" t="s">
        <v>531</v>
      </c>
      <c r="H5" s="7">
        <f t="shared" si="0"/>
        <v>0</v>
      </c>
      <c r="J5" t="s">
        <v>532</v>
      </c>
      <c r="L5">
        <v>8</v>
      </c>
      <c r="Z5" t="s">
        <v>533</v>
      </c>
    </row>
    <row r="6" spans="1:26" x14ac:dyDescent="0.2">
      <c r="A6" s="4">
        <v>46122</v>
      </c>
      <c r="B6" t="s">
        <v>16</v>
      </c>
      <c r="C6">
        <v>85</v>
      </c>
      <c r="D6" t="s">
        <v>534</v>
      </c>
      <c r="H6" s="7">
        <f t="shared" si="0"/>
        <v>85</v>
      </c>
      <c r="J6" t="s">
        <v>535</v>
      </c>
      <c r="L6">
        <v>10</v>
      </c>
      <c r="P6">
        <v>85</v>
      </c>
      <c r="Z6" t="s">
        <v>536</v>
      </c>
    </row>
    <row r="7" spans="1:26" x14ac:dyDescent="0.2">
      <c r="A7" s="4">
        <v>46122</v>
      </c>
      <c r="B7" t="s">
        <v>16</v>
      </c>
      <c r="C7">
        <v>85</v>
      </c>
      <c r="D7" t="s">
        <v>537</v>
      </c>
      <c r="E7" t="s">
        <v>538</v>
      </c>
      <c r="F7" t="s">
        <v>353</v>
      </c>
      <c r="G7" t="s">
        <v>539</v>
      </c>
      <c r="H7" s="7">
        <f t="shared" si="0"/>
        <v>0</v>
      </c>
      <c r="J7" t="s">
        <v>540</v>
      </c>
      <c r="L7">
        <v>10</v>
      </c>
      <c r="Z7" t="s">
        <v>541</v>
      </c>
    </row>
    <row r="8" spans="1:26" x14ac:dyDescent="0.2">
      <c r="A8" s="4">
        <v>46122</v>
      </c>
      <c r="B8" t="s">
        <v>16</v>
      </c>
      <c r="C8">
        <v>85</v>
      </c>
      <c r="D8" t="s">
        <v>542</v>
      </c>
      <c r="E8" t="s">
        <v>543</v>
      </c>
      <c r="F8" t="s">
        <v>232</v>
      </c>
      <c r="G8" t="s">
        <v>544</v>
      </c>
      <c r="H8" s="7">
        <f t="shared" si="0"/>
        <v>0</v>
      </c>
      <c r="J8" t="s">
        <v>545</v>
      </c>
      <c r="L8">
        <v>10</v>
      </c>
      <c r="Z8" t="s">
        <v>546</v>
      </c>
    </row>
    <row r="9" spans="1:26" x14ac:dyDescent="0.2">
      <c r="A9" s="4">
        <v>46123</v>
      </c>
      <c r="B9" t="s">
        <v>16</v>
      </c>
      <c r="C9">
        <v>85</v>
      </c>
      <c r="D9" t="s">
        <v>547</v>
      </c>
      <c r="E9" t="s">
        <v>548</v>
      </c>
      <c r="F9" t="s">
        <v>48</v>
      </c>
      <c r="G9" t="s">
        <v>549</v>
      </c>
      <c r="H9" s="7">
        <f t="shared" si="0"/>
        <v>0</v>
      </c>
      <c r="J9" t="s">
        <v>550</v>
      </c>
      <c r="L9">
        <v>11</v>
      </c>
      <c r="Z9" t="s">
        <v>551</v>
      </c>
    </row>
    <row r="10" spans="1:26" x14ac:dyDescent="0.2">
      <c r="A10" s="5" t="s">
        <v>552</v>
      </c>
      <c r="B10" t="s">
        <v>16</v>
      </c>
      <c r="C10">
        <v>85</v>
      </c>
      <c r="D10" t="s">
        <v>553</v>
      </c>
      <c r="E10" t="s">
        <v>64</v>
      </c>
      <c r="H10" s="7">
        <f t="shared" si="0"/>
        <v>85</v>
      </c>
      <c r="L10">
        <v>13</v>
      </c>
      <c r="P10">
        <v>85</v>
      </c>
      <c r="Z10" t="s">
        <v>554</v>
      </c>
    </row>
    <row r="11" spans="1:26" x14ac:dyDescent="0.2">
      <c r="A11" s="5" t="s">
        <v>381</v>
      </c>
      <c r="B11" t="s">
        <v>16</v>
      </c>
      <c r="C11">
        <v>85</v>
      </c>
      <c r="D11" t="s">
        <v>555</v>
      </c>
      <c r="E11" t="s">
        <v>556</v>
      </c>
      <c r="F11" t="s">
        <v>458</v>
      </c>
      <c r="G11" t="s">
        <v>557</v>
      </c>
      <c r="H11" s="7">
        <f t="shared" si="0"/>
        <v>85</v>
      </c>
      <c r="J11" t="s">
        <v>558</v>
      </c>
      <c r="L11">
        <v>16</v>
      </c>
      <c r="P11">
        <v>85</v>
      </c>
      <c r="Z11" t="s">
        <v>559</v>
      </c>
    </row>
    <row r="12" spans="1:26" x14ac:dyDescent="0.2">
      <c r="A12" s="5" t="s">
        <v>560</v>
      </c>
      <c r="B12" t="s">
        <v>16</v>
      </c>
      <c r="C12">
        <v>85</v>
      </c>
      <c r="D12" t="s">
        <v>561</v>
      </c>
      <c r="E12" t="s">
        <v>562</v>
      </c>
      <c r="F12" t="s">
        <v>289</v>
      </c>
      <c r="G12" t="s">
        <v>526</v>
      </c>
      <c r="H12" s="7">
        <f t="shared" si="0"/>
        <v>0</v>
      </c>
      <c r="J12" t="s">
        <v>563</v>
      </c>
      <c r="L12">
        <v>17</v>
      </c>
      <c r="Z12" t="s">
        <v>564</v>
      </c>
    </row>
    <row r="13" spans="1:26" x14ac:dyDescent="0.2">
      <c r="A13" s="5" t="s">
        <v>560</v>
      </c>
      <c r="B13" t="s">
        <v>16</v>
      </c>
      <c r="C13">
        <v>85</v>
      </c>
      <c r="D13" t="s">
        <v>385</v>
      </c>
      <c r="E13" t="s">
        <v>386</v>
      </c>
      <c r="F13" t="s">
        <v>73</v>
      </c>
      <c r="G13" t="s">
        <v>387</v>
      </c>
      <c r="H13" s="7">
        <f t="shared" si="0"/>
        <v>0</v>
      </c>
      <c r="J13" t="s">
        <v>388</v>
      </c>
      <c r="L13">
        <v>17</v>
      </c>
      <c r="Z13" t="s">
        <v>565</v>
      </c>
    </row>
    <row r="14" spans="1:26" x14ac:dyDescent="0.2">
      <c r="A14" s="5" t="s">
        <v>410</v>
      </c>
      <c r="B14" t="s">
        <v>16</v>
      </c>
      <c r="C14">
        <v>85</v>
      </c>
      <c r="D14" t="s">
        <v>566</v>
      </c>
      <c r="E14" t="s">
        <v>567</v>
      </c>
      <c r="F14" t="s">
        <v>202</v>
      </c>
      <c r="G14" t="s">
        <v>568</v>
      </c>
      <c r="H14" s="7">
        <f t="shared" si="0"/>
        <v>85</v>
      </c>
      <c r="J14" t="s">
        <v>569</v>
      </c>
      <c r="L14">
        <v>22</v>
      </c>
      <c r="O14">
        <v>85</v>
      </c>
      <c r="Z14" t="s">
        <v>570</v>
      </c>
    </row>
    <row r="15" spans="1:26" x14ac:dyDescent="0.2">
      <c r="A15" s="5" t="s">
        <v>410</v>
      </c>
      <c r="B15" t="s">
        <v>16</v>
      </c>
      <c r="C15">
        <v>85</v>
      </c>
      <c r="D15" t="s">
        <v>571</v>
      </c>
      <c r="E15" t="s">
        <v>572</v>
      </c>
      <c r="F15" t="s">
        <v>61</v>
      </c>
      <c r="G15" t="s">
        <v>573</v>
      </c>
      <c r="H15" s="7">
        <f t="shared" si="0"/>
        <v>85</v>
      </c>
      <c r="J15" t="s">
        <v>574</v>
      </c>
      <c r="L15">
        <v>22</v>
      </c>
      <c r="O15">
        <v>85</v>
      </c>
      <c r="Z15" t="s">
        <v>575</v>
      </c>
    </row>
    <row r="16" spans="1:26" x14ac:dyDescent="0.2">
      <c r="A16" s="5" t="s">
        <v>410</v>
      </c>
      <c r="B16" t="s">
        <v>16</v>
      </c>
      <c r="C16">
        <v>85</v>
      </c>
      <c r="D16" t="s">
        <v>576</v>
      </c>
      <c r="E16" t="s">
        <v>577</v>
      </c>
      <c r="F16" t="s">
        <v>166</v>
      </c>
      <c r="G16" t="s">
        <v>578</v>
      </c>
      <c r="H16" s="7">
        <f t="shared" si="0"/>
        <v>0</v>
      </c>
      <c r="J16" t="s">
        <v>579</v>
      </c>
      <c r="L16">
        <v>22</v>
      </c>
      <c r="Z16" t="s">
        <v>580</v>
      </c>
    </row>
    <row r="17" spans="1:26" x14ac:dyDescent="0.2">
      <c r="A17" s="4">
        <v>46104</v>
      </c>
      <c r="B17" t="s">
        <v>16</v>
      </c>
      <c r="C17">
        <v>85</v>
      </c>
      <c r="D17" t="s">
        <v>581</v>
      </c>
      <c r="E17" t="s">
        <v>582</v>
      </c>
      <c r="F17" t="s">
        <v>320</v>
      </c>
      <c r="G17" t="s">
        <v>583</v>
      </c>
      <c r="H17" s="7">
        <f t="shared" si="0"/>
        <v>0</v>
      </c>
      <c r="J17" t="s">
        <v>584</v>
      </c>
      <c r="L17">
        <v>23</v>
      </c>
      <c r="Z17" t="s">
        <v>585</v>
      </c>
    </row>
    <row r="18" spans="1:26" x14ac:dyDescent="0.2">
      <c r="A18" s="4">
        <v>46126</v>
      </c>
      <c r="B18" t="s">
        <v>16</v>
      </c>
      <c r="C18">
        <v>85</v>
      </c>
      <c r="D18" t="s">
        <v>586</v>
      </c>
      <c r="H18" s="7">
        <f t="shared" si="0"/>
        <v>0</v>
      </c>
      <c r="J18" t="s">
        <v>587</v>
      </c>
      <c r="L18">
        <v>27</v>
      </c>
      <c r="Z18" t="s">
        <v>588</v>
      </c>
    </row>
    <row r="19" spans="1:26" x14ac:dyDescent="0.2">
      <c r="A19" s="5" t="s">
        <v>432</v>
      </c>
      <c r="B19" t="s">
        <v>16</v>
      </c>
      <c r="C19">
        <v>85</v>
      </c>
      <c r="D19" t="s">
        <v>589</v>
      </c>
      <c r="E19" t="s">
        <v>590</v>
      </c>
      <c r="F19" t="s">
        <v>458</v>
      </c>
      <c r="G19" t="s">
        <v>591</v>
      </c>
      <c r="H19" s="7">
        <f t="shared" si="0"/>
        <v>0</v>
      </c>
      <c r="J19" t="s">
        <v>592</v>
      </c>
      <c r="L19">
        <v>28</v>
      </c>
      <c r="Z19" t="s">
        <v>593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K-TV</vt:lpstr>
      <vt:lpstr>MINT</vt:lpstr>
      <vt:lpstr>STARLINK</vt:lpstr>
      <vt:lpstr>TMOB</vt:lpstr>
      <vt:lpstr>VER1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Manik Narainsinghani</cp:lastModifiedBy>
  <dcterms:created xsi:type="dcterms:W3CDTF">2026-02-28T21:52:46Z</dcterms:created>
  <dcterms:modified xsi:type="dcterms:W3CDTF">2026-03-15T02:50:53Z</dcterms:modified>
</cp:coreProperties>
</file>